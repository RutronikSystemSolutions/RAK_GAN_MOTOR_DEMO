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RAK_GAN_RSS_GITHUB\RAK_GAN_MOTOR_DEMO\Documents\"/>
    </mc:Choice>
  </mc:AlternateContent>
  <xr:revisionPtr revIDLastSave="0" documentId="13_ncr:1_{83F8B930-506A-4524-9FF8-F0BDBDEB44A3}" xr6:coauthVersionLast="47" xr6:coauthVersionMax="47" xr10:uidLastSave="{00000000-0000-0000-0000-000000000000}"/>
  <bookViews>
    <workbookView xWindow="76680" yWindow="-120" windowWidth="38640" windowHeight="21120" activeTab="2" xr2:uid="{9AB2DC97-95DF-4ADE-8AE4-A797BFEF62A7}"/>
  </bookViews>
  <sheets>
    <sheet name="Tabelle1" sheetId="1" r:id="rId1"/>
    <sheet name="DB42S03" sheetId="2" r:id="rId2"/>
    <sheet name="DB42C02" sheetId="4" r:id="rId3"/>
    <sheet name="RAK_DRONE_DB42S03" sheetId="3" r:id="rId4"/>
  </sheets>
  <definedNames>
    <definedName name="_xlnm._FilterDatabase" localSheetId="3" hidden="1">RAK_DRONE_DB42S03!$A$1:$H$101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4" l="1"/>
  <c r="E29" i="4"/>
  <c r="Q22" i="4"/>
  <c r="Q21" i="4" s="1"/>
  <c r="D9" i="4"/>
  <c r="Q5" i="4"/>
  <c r="D5" i="4"/>
  <c r="L2" i="4"/>
  <c r="D12" i="4" s="1"/>
  <c r="Q8" i="4" s="1"/>
  <c r="Q8" i="2"/>
  <c r="Q5" i="2"/>
  <c r="D5" i="2"/>
  <c r="D30" i="2"/>
  <c r="Q23" i="2" s="1"/>
  <c r="F29" i="2"/>
  <c r="E29" i="2"/>
  <c r="Q24" i="2"/>
  <c r="Q25" i="2" s="1"/>
  <c r="Q22" i="2"/>
  <c r="Q21" i="2"/>
  <c r="D9" i="2"/>
  <c r="L2" i="2"/>
  <c r="D12" i="2" s="1"/>
  <c r="D30" i="4" l="1"/>
  <c r="Q23" i="4" s="1"/>
  <c r="Q24" i="4"/>
  <c r="Q2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Andi-Arbeit</author>
  </authors>
  <commentList>
    <comment ref="B9" authorId="0" shapeId="0" xr:uid="{D676A406-35E3-4889-8D51-846007CDCCA7}">
      <text>
        <r>
          <rPr>
            <b/>
            <sz val="9"/>
            <color indexed="81"/>
            <rFont val="Segoe UI"/>
            <charset val="1"/>
          </rPr>
          <t>Andi-Arbeit:</t>
        </r>
        <r>
          <rPr>
            <sz val="9"/>
            <color indexed="81"/>
            <rFont val="Segoe UI"/>
            <charset val="1"/>
          </rPr>
          <t xml:space="preserve">
Allowed maximum d-axis 
current rating of the motor 
that does not result in 
demagnetization of the 
permanent magnet. Set 
this value to 25% of motor 
continuous current, if not 
specified in the motor 
datasheet.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Andi-Arbeit</author>
  </authors>
  <commentList>
    <comment ref="B9" authorId="0" shapeId="0" xr:uid="{9BF4D977-B9D0-4759-879F-97A4D98B5651}">
      <text>
        <r>
          <rPr>
            <b/>
            <sz val="9"/>
            <color indexed="81"/>
            <rFont val="Segoe UI"/>
            <charset val="1"/>
          </rPr>
          <t>Andi-Arbeit:</t>
        </r>
        <r>
          <rPr>
            <sz val="9"/>
            <color indexed="81"/>
            <rFont val="Segoe UI"/>
            <charset val="1"/>
          </rPr>
          <t xml:space="preserve">
Allowed maximum d-axis 
current rating of the motor 
that does not result in 
demagnetization of the 
permanent magnet. Set 
this value to 25% of motor 
continuous current, if not 
specified in the motor 
datasheet.
</t>
        </r>
      </text>
    </comment>
  </commentList>
</comments>
</file>

<file path=xl/sharedStrings.xml><?xml version="1.0" encoding="utf-8"?>
<sst xmlns="http://schemas.openxmlformats.org/spreadsheetml/2006/main" count="701" uniqueCount="273">
  <si>
    <t>v_min</t>
  </si>
  <si>
    <t>ratio</t>
  </si>
  <si>
    <t>stockt</t>
  </si>
  <si>
    <t>super!</t>
  </si>
  <si>
    <t>RPM</t>
  </si>
  <si>
    <t>v/f Volt_Mode Open Loop</t>
  </si>
  <si>
    <t>I/F Curr mode open loop</t>
  </si>
  <si>
    <t>Curr loop BW</t>
  </si>
  <si>
    <t>curr_ff coeff</t>
  </si>
  <si>
    <t>i_cmd_ol</t>
  </si>
  <si>
    <t>Notitz/default</t>
  </si>
  <si>
    <t>Motor Params</t>
  </si>
  <si>
    <t>User Input</t>
  </si>
  <si>
    <t>Constants</t>
  </si>
  <si>
    <t>Theoretical starting point params</t>
  </si>
  <si>
    <r>
      <t>params.</t>
    </r>
    <r>
      <rPr>
        <sz val="10"/>
        <color rgb="FF0000C0"/>
        <rFont val="Courier New"/>
        <family val="3"/>
      </rPr>
      <t>motor</t>
    </r>
    <r>
      <rPr>
        <sz val="10"/>
        <color rgb="FF000000"/>
        <rFont val="Courier New"/>
        <family val="3"/>
      </rPr>
      <t>.</t>
    </r>
    <r>
      <rPr>
        <sz val="10"/>
        <color rgb="FF0000C0"/>
        <rFont val="Courier New"/>
        <family val="3"/>
      </rPr>
      <t>r</t>
    </r>
  </si>
  <si>
    <t>[Ohm]</t>
  </si>
  <si>
    <t>Output</t>
  </si>
  <si>
    <r>
      <t>params.</t>
    </r>
    <r>
      <rPr>
        <sz val="10"/>
        <color rgb="FF0000C0"/>
        <rFont val="Courier New"/>
        <family val="3"/>
      </rPr>
      <t>motor</t>
    </r>
    <r>
      <rPr>
        <sz val="10"/>
        <color rgb="FF000000"/>
        <rFont val="Courier New"/>
        <family val="3"/>
      </rPr>
      <t>.</t>
    </r>
    <r>
      <rPr>
        <sz val="10"/>
        <color rgb="FF0000C0"/>
        <rFont val="Courier New"/>
        <family val="3"/>
      </rPr>
      <t>lq</t>
    </r>
  </si>
  <si>
    <t>[H]</t>
  </si>
  <si>
    <t>7.0E-2f * 2.0f;</t>
  </si>
  <si>
    <r>
      <t>params.</t>
    </r>
    <r>
      <rPr>
        <sz val="10"/>
        <color rgb="FF0000C0"/>
        <rFont val="Courier New"/>
        <family val="3"/>
      </rPr>
      <t>motor</t>
    </r>
    <r>
      <rPr>
        <sz val="10"/>
        <color rgb="FF000000"/>
        <rFont val="Courier New"/>
        <family val="3"/>
      </rPr>
      <t>.</t>
    </r>
    <r>
      <rPr>
        <sz val="10"/>
        <color rgb="FF0000C0"/>
        <rFont val="Courier New"/>
        <family val="3"/>
      </rPr>
      <t>ld</t>
    </r>
  </si>
  <si>
    <r>
      <t>params.</t>
    </r>
    <r>
      <rPr>
        <sz val="10"/>
        <color rgb="FF0000C0"/>
        <rFont val="Courier New"/>
        <family val="3"/>
      </rPr>
      <t>ctrl</t>
    </r>
    <r>
      <rPr>
        <sz val="10"/>
        <color rgb="FF000000"/>
        <rFont val="Courier New"/>
        <family val="3"/>
      </rPr>
      <t>.</t>
    </r>
    <r>
      <rPr>
        <sz val="10"/>
        <color rgb="FF0000C0"/>
        <rFont val="Courier New"/>
        <family val="3"/>
      </rPr>
      <t>volt</t>
    </r>
    <r>
      <rPr>
        <sz val="10"/>
        <color rgb="FF000000"/>
        <rFont val="Courier New"/>
        <family val="3"/>
      </rPr>
      <t>.</t>
    </r>
    <r>
      <rPr>
        <sz val="10"/>
        <color rgb="FF0000C0"/>
        <rFont val="Courier New"/>
        <family val="3"/>
      </rPr>
      <t>v_min</t>
    </r>
  </si>
  <si>
    <r>
      <t>params.</t>
    </r>
    <r>
      <rPr>
        <sz val="10"/>
        <color rgb="FF0000C0"/>
        <rFont val="Courier New"/>
        <family val="3"/>
      </rPr>
      <t>motor</t>
    </r>
    <r>
      <rPr>
        <sz val="10"/>
        <color rgb="FF000000"/>
        <rFont val="Courier New"/>
        <family val="3"/>
      </rPr>
      <t>.</t>
    </r>
    <r>
      <rPr>
        <sz val="10"/>
        <color rgb="FF0000C0"/>
        <rFont val="Courier New"/>
        <family val="3"/>
      </rPr>
      <t>P</t>
    </r>
  </si>
  <si>
    <t>[Poles]</t>
  </si>
  <si>
    <r>
      <t>params.</t>
    </r>
    <r>
      <rPr>
        <sz val="10"/>
        <color rgb="FF0000C0"/>
        <rFont val="Courier New"/>
        <family val="3"/>
      </rPr>
      <t>motor</t>
    </r>
    <r>
      <rPr>
        <sz val="10"/>
        <color rgb="FF000000"/>
        <rFont val="Courier New"/>
        <family val="3"/>
      </rPr>
      <t>.</t>
    </r>
    <r>
      <rPr>
        <sz val="10"/>
        <color rgb="FF0000C0"/>
        <rFont val="Courier New"/>
        <family val="3"/>
      </rPr>
      <t>i_peak</t>
    </r>
  </si>
  <si>
    <t>[A]</t>
  </si>
  <si>
    <t xml:space="preserve">5.8E-3f * 1.5f; </t>
  </si>
  <si>
    <r>
      <t>params.</t>
    </r>
    <r>
      <rPr>
        <sz val="10"/>
        <color rgb="FF0000C0"/>
        <rFont val="Courier New"/>
        <family val="3"/>
      </rPr>
      <t>motor</t>
    </r>
    <r>
      <rPr>
        <sz val="10"/>
        <color rgb="FF000000"/>
        <rFont val="Courier New"/>
        <family val="3"/>
      </rPr>
      <t>.</t>
    </r>
    <r>
      <rPr>
        <sz val="10"/>
        <color rgb="FF0000C0"/>
        <rFont val="Courier New"/>
        <family val="3"/>
      </rPr>
      <t>i_cont</t>
    </r>
  </si>
  <si>
    <r>
      <t>params.</t>
    </r>
    <r>
      <rPr>
        <sz val="10"/>
        <color rgb="FF0000C0"/>
        <rFont val="Courier New"/>
        <family val="3"/>
      </rPr>
      <t>ctrl</t>
    </r>
    <r>
      <rPr>
        <sz val="10"/>
        <color rgb="FF000000"/>
        <rFont val="Courier New"/>
        <family val="3"/>
      </rPr>
      <t>.</t>
    </r>
    <r>
      <rPr>
        <sz val="10"/>
        <color rgb="FF0000C0"/>
        <rFont val="Courier New"/>
        <family val="3"/>
      </rPr>
      <t>volt</t>
    </r>
    <r>
      <rPr>
        <sz val="10"/>
        <color rgb="FF000000"/>
        <rFont val="Courier New"/>
        <family val="3"/>
      </rPr>
      <t>.</t>
    </r>
    <r>
      <rPr>
        <sz val="10"/>
        <color rgb="FF0000C0"/>
        <rFont val="Courier New"/>
        <family val="3"/>
      </rPr>
      <t>v_to_f_ratio</t>
    </r>
  </si>
  <si>
    <t>25% von cont current</t>
  </si>
  <si>
    <r>
      <t>params.</t>
    </r>
    <r>
      <rPr>
        <sz val="10"/>
        <color rgb="FF0000C0"/>
        <rFont val="Courier New"/>
        <family val="3"/>
      </rPr>
      <t>motor</t>
    </r>
    <r>
      <rPr>
        <sz val="10"/>
        <color rgb="FF000000"/>
        <rFont val="Courier New"/>
        <family val="3"/>
      </rPr>
      <t>.</t>
    </r>
    <r>
      <rPr>
        <sz val="10"/>
        <color rgb="FF0000C0"/>
        <rFont val="Courier New"/>
        <family val="3"/>
      </rPr>
      <t>id_max</t>
    </r>
    <r>
      <rPr>
        <sz val="10"/>
        <color rgb="FF000000"/>
        <rFont val="Courier New"/>
        <family val="3"/>
      </rPr>
      <t xml:space="preserve"> </t>
    </r>
  </si>
  <si>
    <r>
      <t>params.</t>
    </r>
    <r>
      <rPr>
        <sz val="10"/>
        <color rgb="FF0000C0"/>
        <rFont val="Courier New"/>
        <family val="3"/>
      </rPr>
      <t>motor</t>
    </r>
    <r>
      <rPr>
        <sz val="10"/>
        <color rgb="FF000000"/>
        <rFont val="Courier New"/>
        <family val="3"/>
      </rPr>
      <t>.</t>
    </r>
    <r>
      <rPr>
        <sz val="10"/>
        <color rgb="FF0000C0"/>
        <rFont val="Courier New"/>
        <family val="3"/>
      </rPr>
      <t>v_nom</t>
    </r>
  </si>
  <si>
    <t>[V]</t>
  </si>
  <si>
    <r>
      <t>params.</t>
    </r>
    <r>
      <rPr>
        <sz val="10"/>
        <color rgb="FF0000C0"/>
        <rFont val="Courier New"/>
        <family val="3"/>
      </rPr>
      <t>motor</t>
    </r>
    <r>
      <rPr>
        <sz val="10"/>
        <color rgb="FF000000"/>
        <rFont val="Courier New"/>
        <family val="3"/>
      </rPr>
      <t>.</t>
    </r>
    <r>
      <rPr>
        <sz val="10"/>
        <color rgb="FF0000C0"/>
        <rFont val="Courier New"/>
        <family val="3"/>
      </rPr>
      <t>w_nom</t>
    </r>
    <r>
      <rPr>
        <sz val="10"/>
        <color rgb="FF000000"/>
        <rFont val="Courier New"/>
        <family val="3"/>
      </rPr>
      <t>.</t>
    </r>
    <r>
      <rPr>
        <sz val="10"/>
        <color rgb="FF0000C0"/>
        <rFont val="Courier New"/>
        <family val="3"/>
      </rPr>
      <t>elec</t>
    </r>
    <r>
      <rPr>
        <sz val="10"/>
        <color rgb="FF000000"/>
        <rFont val="Courier New"/>
        <family val="3"/>
      </rPr>
      <t xml:space="preserve"> </t>
    </r>
  </si>
  <si>
    <t>Value in [RPM]</t>
  </si>
  <si>
    <t>[Ra/sec-elec]</t>
  </si>
  <si>
    <t>+</t>
  </si>
  <si>
    <t>Open loop start</t>
  </si>
  <si>
    <t>To be measured in 2 speed points:</t>
  </si>
  <si>
    <t>Parameters in code to read</t>
  </si>
  <si>
    <t>Point 1</t>
  </si>
  <si>
    <t>Point 2</t>
  </si>
  <si>
    <t>Tuned values to input in the code</t>
  </si>
  <si>
    <t>V</t>
  </si>
  <si>
    <t>x1,x2</t>
  </si>
  <si>
    <t>vars.w_final_filt.elec</t>
  </si>
  <si>
    <t>x</t>
  </si>
  <si>
    <t>we</t>
  </si>
  <si>
    <t>y1,y2</t>
  </si>
  <si>
    <t>vars.v_qd_r_cmd.q</t>
  </si>
  <si>
    <t>y</t>
  </si>
  <si>
    <t>vars.T_est</t>
  </si>
  <si>
    <t>Ty</t>
  </si>
  <si>
    <t>Time between stable points</t>
  </si>
  <si>
    <t>[s]</t>
  </si>
  <si>
    <t>J</t>
  </si>
  <si>
    <r>
      <t>params.</t>
    </r>
    <r>
      <rPr>
        <sz val="10"/>
        <color rgb="FF0000C0"/>
        <rFont val="Courier New"/>
        <family val="3"/>
      </rPr>
      <t>mech</t>
    </r>
    <r>
      <rPr>
        <sz val="10"/>
        <color rgb="FF000000"/>
        <rFont val="Courier New"/>
        <family val="3"/>
      </rPr>
      <t>.</t>
    </r>
    <r>
      <rPr>
        <sz val="10"/>
        <color rgb="FF0000C0"/>
        <rFont val="Courier New"/>
        <family val="3"/>
      </rPr>
      <t>inertia</t>
    </r>
  </si>
  <si>
    <t>B</t>
  </si>
  <si>
    <r>
      <t>params.</t>
    </r>
    <r>
      <rPr>
        <sz val="10"/>
        <color rgb="FF0000C0"/>
        <rFont val="Courier New"/>
        <family val="3"/>
      </rPr>
      <t>mech</t>
    </r>
    <r>
      <rPr>
        <sz val="10"/>
        <color rgb="FF000000"/>
        <rFont val="Courier New"/>
        <family val="3"/>
      </rPr>
      <t>.</t>
    </r>
    <r>
      <rPr>
        <sz val="10"/>
        <color rgb="FF0000C0"/>
        <rFont val="Courier New"/>
        <family val="3"/>
      </rPr>
      <t>viscous</t>
    </r>
  </si>
  <si>
    <t>Friction, Viscous</t>
  </si>
  <si>
    <t>Tf</t>
  </si>
  <si>
    <r>
      <t>params.</t>
    </r>
    <r>
      <rPr>
        <sz val="10"/>
        <color rgb="FF0000C0"/>
        <rFont val="Courier New"/>
        <family val="3"/>
      </rPr>
      <t>mech</t>
    </r>
    <r>
      <rPr>
        <sz val="10"/>
        <color rgb="FF000000"/>
        <rFont val="Courier New"/>
        <family val="3"/>
      </rPr>
      <t>.</t>
    </r>
    <r>
      <rPr>
        <sz val="10"/>
        <color rgb="FF0000C0"/>
        <rFont val="Courier New"/>
        <family val="3"/>
      </rPr>
      <t>friction</t>
    </r>
  </si>
  <si>
    <t>Supportive torque calc</t>
  </si>
  <si>
    <t>Omega mech</t>
  </si>
  <si>
    <t>Tx</t>
  </si>
  <si>
    <t>dwm/dt</t>
  </si>
  <si>
    <t>Inertia</t>
  </si>
  <si>
    <t>Rphase−phase​=3/2​⋅Rwicklung​</t>
  </si>
  <si>
    <t>L=3/2​⋅Lphase−phase​</t>
  </si>
  <si>
    <t>DB24S03</t>
  </si>
  <si>
    <t>0,78A @ 0,715V</t>
  </si>
  <si>
    <t>1,3A @ 2,66V</t>
  </si>
  <si>
    <t>RAK Drone Test</t>
  </si>
  <si>
    <t>RAK_VS Motor</t>
  </si>
  <si>
    <t>curr_cmd_ol</t>
  </si>
  <si>
    <t>0,75A 1000Hz</t>
  </si>
  <si>
    <t>Component Name</t>
  </si>
  <si>
    <t>Block Name</t>
  </si>
  <si>
    <t>Subblock (Level 1)</t>
  </si>
  <si>
    <t>Subblock (Level 2)</t>
  </si>
  <si>
    <t>Parameter Name</t>
  </si>
  <si>
    <t>Previous Value</t>
  </si>
  <si>
    <t>New Value</t>
  </si>
  <si>
    <t>Unit</t>
  </si>
  <si>
    <t>MCU</t>
  </si>
  <si>
    <t>System</t>
  </si>
  <si>
    <t>Boot strap time</t>
  </si>
  <si>
    <t>0.25</t>
  </si>
  <si>
    <t>Sec</t>
  </si>
  <si>
    <t>Sampling</t>
  </si>
  <si>
    <t>PWM to fast-loop frequency ratio</t>
  </si>
  <si>
    <t>Fast-loop frequency</t>
  </si>
  <si>
    <t>Hz</t>
  </si>
  <si>
    <t>Fast-loop to slow-loop frequency ratio</t>
  </si>
  <si>
    <t>Analog Sensors</t>
  </si>
  <si>
    <t>Shunts</t>
  </si>
  <si>
    <t>Current Sensor Type</t>
  </si>
  <si>
    <t>Active_Sensor</t>
  </si>
  <si>
    <t>Current Polarity</t>
  </si>
  <si>
    <t>LS_Current_Sense</t>
  </si>
  <si>
    <t>Type</t>
  </si>
  <si>
    <t>Three_Shunt</t>
  </si>
  <si>
    <t>Shunt resistance</t>
  </si>
  <si>
    <t>0.009999999776482582</t>
  </si>
  <si>
    <t>Ohm</t>
  </si>
  <si>
    <t>Current  Sensitivity</t>
  </si>
  <si>
    <t>0.02199999988079071</t>
  </si>
  <si>
    <t>V/A</t>
  </si>
  <si>
    <t>Opamp Gain</t>
  </si>
  <si>
    <t>Hybrid Modulation</t>
  </si>
  <si>
    <t>Min ADC conversion time</t>
  </si>
  <si>
    <t>5,00E+08</t>
  </si>
  <si>
    <t>Error integrator gain</t>
  </si>
  <si>
    <t>0.5</t>
  </si>
  <si>
    <t>Rate Limiters</t>
  </si>
  <si>
    <t xml:space="preserve">Speed command rate </t>
  </si>
  <si>
    <t>RPM/Sec</t>
  </si>
  <si>
    <t>Current command rate</t>
  </si>
  <si>
    <t>A/Sec</t>
  </si>
  <si>
    <t>Speed command rate (open loop)</t>
  </si>
  <si>
    <t>Position command rate</t>
  </si>
  <si>
    <t>Deg/Sec</t>
  </si>
  <si>
    <t>Faults</t>
  </si>
  <si>
    <t>Over current fault threshold</t>
  </si>
  <si>
    <t>%</t>
  </si>
  <si>
    <t>Vdc fault detection debouncing time</t>
  </si>
  <si>
    <t>0.30000001192092896</t>
  </si>
  <si>
    <t>Over temperature fault threshold</t>
  </si>
  <si>
    <t>Celsius</t>
  </si>
  <si>
    <t>Fault reaction short method</t>
  </si>
  <si>
    <t>Alternate_Short</t>
  </si>
  <si>
    <t>Number of tries for clearing faults</t>
  </si>
  <si>
    <t>Minimum Vdc fault threshold</t>
  </si>
  <si>
    <t>Maximum Vdc fault threshold</t>
  </si>
  <si>
    <t>Over speed fault threshold</t>
  </si>
  <si>
    <t>Command</t>
  </si>
  <si>
    <t>Command source</t>
  </si>
  <si>
    <t>External</t>
  </si>
  <si>
    <t>Max speed command</t>
  </si>
  <si>
    <t>Max current command</t>
  </si>
  <si>
    <t>0.8949999809265137</t>
  </si>
  <si>
    <t>A</t>
  </si>
  <si>
    <t>Feedback</t>
  </si>
  <si>
    <t>Hall Sensor</t>
  </si>
  <si>
    <t>Hall angle offset</t>
  </si>
  <si>
    <t>Deg</t>
  </si>
  <si>
    <t>Offset compensation</t>
  </si>
  <si>
    <t>Disable</t>
  </si>
  <si>
    <t>Incremental Encoder</t>
  </si>
  <si>
    <t>CPR</t>
  </si>
  <si>
    <t>Time constant ratio</t>
  </si>
  <si>
    <t>Zero speed detection threshold</t>
  </si>
  <si>
    <t>Observer</t>
  </si>
  <si>
    <t>Observer activation speed threshold</t>
  </si>
  <si>
    <t>Observer minimum lock time</t>
  </si>
  <si>
    <t>Filter</t>
  </si>
  <si>
    <t>Estimated torque filter's bandwidth</t>
  </si>
  <si>
    <t>Speed Anti-Resonant Filter</t>
  </si>
  <si>
    <t>Enable switch</t>
  </si>
  <si>
    <t>Enable</t>
  </si>
  <si>
    <t>Control</t>
  </si>
  <si>
    <t>Control mode</t>
  </si>
  <si>
    <t>Curr_Mode_Open_Loop</t>
  </si>
  <si>
    <t>Speed_Mode_FOC_Sensorless_Curr_Startup</t>
  </si>
  <si>
    <t>Speed Controller</t>
  </si>
  <si>
    <t>Speed loop bandwidth</t>
  </si>
  <si>
    <t>Open-loop to closed-loop transition coefficient for current reference</t>
  </si>
  <si>
    <t>Speed loop Kp</t>
  </si>
  <si>
    <t>0.005079613998532295</t>
  </si>
  <si>
    <t>0.002400000113993883</t>
  </si>
  <si>
    <t>A/(Ra/sec-elec)</t>
  </si>
  <si>
    <t>Speed loop Ki</t>
  </si>
  <si>
    <t>0.011789999902248383</t>
  </si>
  <si>
    <t>0.034</t>
  </si>
  <si>
    <t>A/(Ra/sec-elec).(Ra/sec)</t>
  </si>
  <si>
    <t>Ki multiple for speed loop</t>
  </si>
  <si>
    <t>Speed loop feed-forward coefficient</t>
  </si>
  <si>
    <t>Current Controller</t>
  </si>
  <si>
    <t>Current loop bandwidth</t>
  </si>
  <si>
    <t>Current loop feed-forward coefficient</t>
  </si>
  <si>
    <t>Current control startup threshold</t>
  </si>
  <si>
    <t>0.2685000002384186</t>
  </si>
  <si>
    <t>Q-axis current loop Kp</t>
  </si>
  <si>
    <t>D-axis current loop Kp</t>
  </si>
  <si>
    <t>Q-axis current loop Ki</t>
  </si>
  <si>
    <t>V/A.(Ra/sec)</t>
  </si>
  <si>
    <t>D-axis current loop Ki</t>
  </si>
  <si>
    <t>Open loop current control command</t>
  </si>
  <si>
    <t>0.44999998807907104</t>
  </si>
  <si>
    <t>0.757099986076355</t>
  </si>
  <si>
    <t>Voltage Controller</t>
  </si>
  <si>
    <t>Startup threshold</t>
  </si>
  <si>
    <t>V/f ramp voltage offset</t>
  </si>
  <si>
    <t>0.15000000596046448</t>
  </si>
  <si>
    <t>V/f ramp slope</t>
  </si>
  <si>
    <t>0.007499999832361937</t>
  </si>
  <si>
    <t>V/(Rad/Sec)</t>
  </si>
  <si>
    <t>Modulation scheme</t>
  </si>
  <si>
    <t>Space_Vector_Modulation</t>
  </si>
  <si>
    <t>Five-Segment Modulation</t>
  </si>
  <si>
    <t>Five-Segment modulation enable switch</t>
  </si>
  <si>
    <t>Five-Segment modulation  activation threshold</t>
  </si>
  <si>
    <t>Five-Segment modulation deactivation threshold</t>
  </si>
  <si>
    <t>Flux Weakening</t>
  </si>
  <si>
    <t>Flux weakening enable switch</t>
  </si>
  <si>
    <t>Flux weakening voltage margin</t>
  </si>
  <si>
    <t>0.7999999856414146</t>
  </si>
  <si>
    <t>Flux weakening loop bandwidth</t>
  </si>
  <si>
    <t>Flux weakening loop Ki</t>
  </si>
  <si>
    <t>0.0016194639028981328</t>
  </si>
  <si>
    <t>Ra/sec.A/V</t>
  </si>
  <si>
    <t>Rotor Pre-Alignment</t>
  </si>
  <si>
    <t>Alignment time</t>
  </si>
  <si>
    <t>Alignment voltage</t>
  </si>
  <si>
    <t>0.6712499856948853</t>
  </si>
  <si>
    <t>Six-Pulse Injection</t>
  </si>
  <si>
    <t>Maximum current</t>
  </si>
  <si>
    <t>High-Frequency Injection</t>
  </si>
  <si>
    <t>Injection type</t>
  </si>
  <si>
    <t>Separation frequency</t>
  </si>
  <si>
    <t>Maximum excitation current (d-axis)</t>
  </si>
  <si>
    <t>Position Controller</t>
  </si>
  <si>
    <t>Position loop bandwidth</t>
  </si>
  <si>
    <t>Pole separation ratio</t>
  </si>
  <si>
    <t>Position loop feed-forward coefficient</t>
  </si>
  <si>
    <t>Position loop output limit value</t>
  </si>
  <si>
    <t>DC Supply</t>
  </si>
  <si>
    <t>Nominal dc voltage</t>
  </si>
  <si>
    <t>Motor</t>
  </si>
  <si>
    <t>Poles</t>
  </si>
  <si>
    <t>Stator Lq</t>
  </si>
  <si>
    <t>0.0010499999625608325</t>
  </si>
  <si>
    <t>H</t>
  </si>
  <si>
    <t>Stator Ld</t>
  </si>
  <si>
    <t>Rotor flux linkage</t>
  </si>
  <si>
    <t>0.004999999888241291</t>
  </si>
  <si>
    <t>Wb</t>
  </si>
  <si>
    <t>Stator resistance</t>
  </si>
  <si>
    <t>0.75</t>
  </si>
  <si>
    <t>Maximum torque</t>
  </si>
  <si>
    <t>0.1899999976158142</t>
  </si>
  <si>
    <t>Nm</t>
  </si>
  <si>
    <t>Peak current rating</t>
  </si>
  <si>
    <t>Continuous current rating</t>
  </si>
  <si>
    <t>Maximum d-axis current rating</t>
  </si>
  <si>
    <t>0.44749999046325684</t>
  </si>
  <si>
    <t>Nominal dc-link voltage</t>
  </si>
  <si>
    <t>Nominal speed</t>
  </si>
  <si>
    <t>Maximum speed</t>
  </si>
  <si>
    <t>I2T Protection</t>
  </si>
  <si>
    <t>Thermal time constant</t>
  </si>
  <si>
    <t>Profiler</t>
  </si>
  <si>
    <t>Parameter overwrite</t>
  </si>
  <si>
    <t>Activation command threshold</t>
  </si>
  <si>
    <t>Activation command hysteresis</t>
  </si>
  <si>
    <t>Target DC current</t>
  </si>
  <si>
    <t>Target AC current</t>
  </si>
  <si>
    <t>Initial electrical speed</t>
  </si>
  <si>
    <t>Final electrical speed</t>
  </si>
  <si>
    <t>Rotor locking time</t>
  </si>
  <si>
    <t>Flux estimation time</t>
  </si>
  <si>
    <t>Mechanical Load</t>
  </si>
  <si>
    <t>0.000011000000085914508</t>
  </si>
  <si>
    <t>0.0000024000000848900527</t>
  </si>
  <si>
    <t>kg.m^2</t>
  </si>
  <si>
    <t>Viscous damping</t>
  </si>
  <si>
    <t>0.000012000000424450263</t>
  </si>
  <si>
    <t>kg.m^2/sec</t>
  </si>
  <si>
    <t>Friction</t>
  </si>
  <si>
    <t>0.006000000052154064</t>
  </si>
  <si>
    <t>siehe Datenblatt</t>
  </si>
  <si>
    <t>calc.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</si>
</sst>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rgb="FF000000"/>
      <name val="Courier New"/>
      <family val="3"/>
    </font>
    <font>
      <sz val="10"/>
      <color rgb="FF0000C0"/>
      <name val="Courier New"/>
      <family val="3"/>
    </font>
    <font>
      <sz val="11"/>
      <color theme="1"/>
      <name val="Calisto MT"/>
      <family val="1"/>
    </font>
    <font>
      <b/>
      <sz val="9"/>
      <color indexed="81"/>
      <name val="Segoe UI"/>
      <charset val="1"/>
    </font>
    <font>
      <sz val="9"/>
      <color indexed="81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9" fontId="0" fillId="0" borderId="0" xfId="0" applyNumberFormat="1"/>
    <xf numFmtId="0" fontId="0" fillId="2" borderId="0" xfId="0" applyFill="1"/>
    <xf numFmtId="0" fontId="1" fillId="0" borderId="0" xfId="0" applyFont="1"/>
    <xf numFmtId="0" fontId="1" fillId="3" borderId="0" xfId="0" applyFont="1" applyFill="1"/>
    <xf numFmtId="0" fontId="2" fillId="0" borderId="1" xfId="0" applyFont="1" applyBorder="1" applyAlignment="1">
      <alignment vertical="center"/>
    </xf>
    <xf numFmtId="0" fontId="1" fillId="0" borderId="2" xfId="0" applyFont="1" applyBorder="1"/>
    <xf numFmtId="0" fontId="1" fillId="3" borderId="2" xfId="0" applyFont="1" applyFill="1" applyBorder="1"/>
    <xf numFmtId="0" fontId="1" fillId="0" borderId="3" xfId="0" applyFont="1" applyBorder="1"/>
    <xf numFmtId="0" fontId="1" fillId="4" borderId="0" xfId="0" applyFont="1" applyFill="1"/>
    <xf numFmtId="0" fontId="2" fillId="0" borderId="4" xfId="0" applyFont="1" applyBorder="1" applyAlignment="1">
      <alignment vertical="center"/>
    </xf>
    <xf numFmtId="0" fontId="1" fillId="0" borderId="5" xfId="0" applyFont="1" applyBorder="1"/>
    <xf numFmtId="0" fontId="2" fillId="0" borderId="6" xfId="0" applyFont="1" applyBorder="1" applyAlignment="1">
      <alignment vertical="center"/>
    </xf>
    <xf numFmtId="0" fontId="1" fillId="0" borderId="7" xfId="0" applyFont="1" applyBorder="1"/>
    <xf numFmtId="11" fontId="1" fillId="4" borderId="8" xfId="0" applyNumberFormat="1" applyFont="1" applyFill="1" applyBorder="1"/>
    <xf numFmtId="9" fontId="1" fillId="0" borderId="0" xfId="0" applyNumberFormat="1" applyFont="1"/>
    <xf numFmtId="0" fontId="1" fillId="3" borderId="7" xfId="0" applyFont="1" applyFill="1" applyBorder="1"/>
    <xf numFmtId="0" fontId="1" fillId="0" borderId="8" xfId="0" applyFont="1" applyBorder="1"/>
    <xf numFmtId="11" fontId="1" fillId="0" borderId="0" xfId="0" applyNumberFormat="1" applyFont="1"/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1" fontId="1" fillId="4" borderId="3" xfId="0" applyNumberFormat="1" applyFont="1" applyFill="1" applyBorder="1"/>
    <xf numFmtId="0" fontId="0" fillId="0" borderId="6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1" fontId="1" fillId="4" borderId="5" xfId="0" applyNumberFormat="1" applyFont="1" applyFill="1" applyBorder="1"/>
    <xf numFmtId="2" fontId="1" fillId="3" borderId="9" xfId="0" applyNumberFormat="1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quotePrefix="1"/>
    <xf numFmtId="3" fontId="0" fillId="0" borderId="0" xfId="0" applyNumberFormat="1"/>
    <xf numFmtId="16" fontId="0" fillId="0" borderId="0" xfId="0" applyNumberFormat="1"/>
    <xf numFmtId="17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3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44441</xdr:colOff>
      <xdr:row>15</xdr:row>
      <xdr:rowOff>99797</xdr:rowOff>
    </xdr:from>
    <xdr:to>
      <xdr:col>11</xdr:col>
      <xdr:colOff>77265</xdr:colOff>
      <xdr:row>22</xdr:row>
      <xdr:rowOff>132401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0979A8-2125-476F-8376-B4E1D3AE6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3541" y="2804897"/>
          <a:ext cx="2318824" cy="132165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104774</xdr:colOff>
      <xdr:row>4</xdr:row>
      <xdr:rowOff>44946</xdr:rowOff>
    </xdr:from>
    <xdr:to>
      <xdr:col>12</xdr:col>
      <xdr:colOff>297683</xdr:colOff>
      <xdr:row>9</xdr:row>
      <xdr:rowOff>20730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71D46F-7FA8-4568-83C9-A5729935A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4524" y="768846"/>
          <a:ext cx="5526909" cy="896534"/>
        </a:xfrm>
        <a:prstGeom prst="rect">
          <a:avLst/>
        </a:prstGeom>
      </xdr:spPr>
    </xdr:pic>
    <xdr:clientData/>
  </xdr:twoCellAnchor>
  <xdr:twoCellAnchor editAs="oneCell">
    <xdr:from>
      <xdr:col>8</xdr:col>
      <xdr:colOff>51288</xdr:colOff>
      <xdr:row>25</xdr:row>
      <xdr:rowOff>153865</xdr:rowOff>
    </xdr:from>
    <xdr:to>
      <xdr:col>11</xdr:col>
      <xdr:colOff>189035</xdr:colOff>
      <xdr:row>32</xdr:row>
      <xdr:rowOff>171205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6BC702-1300-4A55-A60B-8EDFC32B1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0388" y="4668715"/>
          <a:ext cx="2423747" cy="13063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681403</xdr:colOff>
      <xdr:row>34</xdr:row>
      <xdr:rowOff>87922</xdr:rowOff>
    </xdr:from>
    <xdr:to>
      <xdr:col>11</xdr:col>
      <xdr:colOff>631678</xdr:colOff>
      <xdr:row>43</xdr:row>
      <xdr:rowOff>28135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097BF02-593C-40B8-BEB1-87645028A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053" y="6215672"/>
          <a:ext cx="2998275" cy="159756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333375</xdr:colOff>
      <xdr:row>20</xdr:row>
      <xdr:rowOff>0</xdr:rowOff>
    </xdr:from>
    <xdr:to>
      <xdr:col>18</xdr:col>
      <xdr:colOff>692298</xdr:colOff>
      <xdr:row>25</xdr:row>
      <xdr:rowOff>35062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23D085-CD11-4F63-B84F-95048F595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725775" y="3606800"/>
          <a:ext cx="1120923" cy="9558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44441</xdr:colOff>
      <xdr:row>15</xdr:row>
      <xdr:rowOff>99797</xdr:rowOff>
    </xdr:from>
    <xdr:to>
      <xdr:col>11</xdr:col>
      <xdr:colOff>77265</xdr:colOff>
      <xdr:row>22</xdr:row>
      <xdr:rowOff>151451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A52C9-B0E7-4824-A937-175334167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6041" y="2912847"/>
          <a:ext cx="2318824" cy="134070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104774</xdr:colOff>
      <xdr:row>4</xdr:row>
      <xdr:rowOff>44946</xdr:rowOff>
    </xdr:from>
    <xdr:to>
      <xdr:col>12</xdr:col>
      <xdr:colOff>294508</xdr:colOff>
      <xdr:row>9</xdr:row>
      <xdr:rowOff>39780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B5068E-CB1A-4C23-8D8C-99FE330ED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40374" y="794246"/>
          <a:ext cx="5526909" cy="915584"/>
        </a:xfrm>
        <a:prstGeom prst="rect">
          <a:avLst/>
        </a:prstGeom>
      </xdr:spPr>
    </xdr:pic>
    <xdr:clientData/>
  </xdr:twoCellAnchor>
  <xdr:twoCellAnchor editAs="oneCell">
    <xdr:from>
      <xdr:col>8</xdr:col>
      <xdr:colOff>51288</xdr:colOff>
      <xdr:row>25</xdr:row>
      <xdr:rowOff>153865</xdr:rowOff>
    </xdr:from>
    <xdr:to>
      <xdr:col>11</xdr:col>
      <xdr:colOff>189035</xdr:colOff>
      <xdr:row>33</xdr:row>
      <xdr:rowOff>2930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6D6A11-CDC1-4EA8-B1F4-A84CAE797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888" y="4833815"/>
          <a:ext cx="2423747" cy="13127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681403</xdr:colOff>
      <xdr:row>34</xdr:row>
      <xdr:rowOff>87922</xdr:rowOff>
    </xdr:from>
    <xdr:to>
      <xdr:col>11</xdr:col>
      <xdr:colOff>631678</xdr:colOff>
      <xdr:row>43</xdr:row>
      <xdr:rowOff>31310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F8E04F-A527-4340-803F-B77C2C586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1003" y="6431572"/>
          <a:ext cx="2998275" cy="159756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333375</xdr:colOff>
      <xdr:row>20</xdr:row>
      <xdr:rowOff>0</xdr:rowOff>
    </xdr:from>
    <xdr:to>
      <xdr:col>18</xdr:col>
      <xdr:colOff>695473</xdr:colOff>
      <xdr:row>25</xdr:row>
      <xdr:rowOff>44587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65AF46-BDB6-4647-B232-C8FF56150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732125" y="3746500"/>
          <a:ext cx="1120923" cy="968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6F9-36A9-4DEF-A513-1DFFFB22BB8C}">
  <dimension ref="A1:S30"/>
  <sheetViews>
    <sheetView workbookViewId="0">
      <selection activeCell="Q10" sqref="Q10"/>
    </sheetView>
  </sheetViews>
  <sheetFormatPr baseColWidth="10" defaultRowHeight="14.5" x14ac:dyDescent="0.35"/>
  <cols>
    <col min="6" max="6" width="10.90625" style="2"/>
    <col min="17" max="17" width="13.453125" bestFit="1" customWidth="1"/>
  </cols>
  <sheetData>
    <row r="1" spans="1:19" x14ac:dyDescent="0.35">
      <c r="Q1" t="s">
        <v>73</v>
      </c>
    </row>
    <row r="2" spans="1:19" x14ac:dyDescent="0.35">
      <c r="B2" t="s">
        <v>5</v>
      </c>
      <c r="H2" t="s">
        <v>6</v>
      </c>
      <c r="N2" t="s">
        <v>70</v>
      </c>
      <c r="Q2" t="s">
        <v>74</v>
      </c>
    </row>
    <row r="3" spans="1:19" x14ac:dyDescent="0.35">
      <c r="E3" t="s">
        <v>2</v>
      </c>
      <c r="F3" s="2" t="s">
        <v>3</v>
      </c>
      <c r="I3" t="s">
        <v>7</v>
      </c>
      <c r="J3">
        <v>5000</v>
      </c>
      <c r="O3" t="s">
        <v>75</v>
      </c>
      <c r="Q3" t="s">
        <v>76</v>
      </c>
      <c r="S3" s="2"/>
    </row>
    <row r="4" spans="1:19" x14ac:dyDescent="0.35">
      <c r="B4" t="s">
        <v>0</v>
      </c>
      <c r="C4">
        <v>7.1400000000000005E-2</v>
      </c>
      <c r="D4">
        <v>5.1400000000000001E-2</v>
      </c>
      <c r="E4">
        <v>3.1399999999999997E-2</v>
      </c>
      <c r="F4" s="2">
        <v>4.1399999999999999E-2</v>
      </c>
      <c r="I4" t="s">
        <v>8</v>
      </c>
      <c r="J4">
        <v>10</v>
      </c>
      <c r="O4" t="s">
        <v>0</v>
      </c>
      <c r="P4">
        <v>2.1999999999999999E-2</v>
      </c>
      <c r="Q4">
        <v>0.15</v>
      </c>
      <c r="S4" s="2"/>
    </row>
    <row r="5" spans="1:19" x14ac:dyDescent="0.35">
      <c r="A5" t="s">
        <v>4</v>
      </c>
      <c r="B5" t="s">
        <v>1</v>
      </c>
      <c r="C5">
        <v>8.1899999999999994E-3</v>
      </c>
      <c r="D5">
        <v>6.1900000000000002E-3</v>
      </c>
      <c r="E5">
        <v>4.1900000000000001E-3</v>
      </c>
      <c r="F5" s="2">
        <v>5.1900000000000002E-3</v>
      </c>
      <c r="H5" t="s">
        <v>4</v>
      </c>
      <c r="I5" t="s">
        <v>9</v>
      </c>
      <c r="J5">
        <v>1.4</v>
      </c>
      <c r="N5" t="s">
        <v>4</v>
      </c>
      <c r="O5" t="s">
        <v>1</v>
      </c>
      <c r="P5">
        <v>6.8500000000000002E-3</v>
      </c>
      <c r="Q5">
        <v>7.4999999999999997E-3</v>
      </c>
      <c r="S5" s="2"/>
    </row>
    <row r="6" spans="1:19" x14ac:dyDescent="0.35">
      <c r="A6">
        <v>240</v>
      </c>
      <c r="B6" s="1">
        <v>0.06</v>
      </c>
      <c r="C6">
        <v>3.24</v>
      </c>
      <c r="D6">
        <v>2</v>
      </c>
      <c r="F6" s="2">
        <v>1.23</v>
      </c>
      <c r="H6">
        <v>240</v>
      </c>
      <c r="I6" s="1">
        <v>0.06</v>
      </c>
      <c r="J6">
        <v>1.47</v>
      </c>
      <c r="N6">
        <v>240</v>
      </c>
      <c r="O6" s="1">
        <v>0.06</v>
      </c>
      <c r="S6" s="2"/>
    </row>
    <row r="7" spans="1:19" x14ac:dyDescent="0.35">
      <c r="B7" s="1">
        <v>7.0000000000000007E-2</v>
      </c>
      <c r="C7">
        <v>3.7</v>
      </c>
      <c r="D7">
        <v>2.2000000000000002</v>
      </c>
      <c r="I7" s="1">
        <v>7.0000000000000007E-2</v>
      </c>
      <c r="O7" s="1">
        <v>7.0000000000000007E-2</v>
      </c>
      <c r="S7" s="2"/>
    </row>
    <row r="8" spans="1:19" x14ac:dyDescent="0.35">
      <c r="B8" s="1">
        <v>0.08</v>
      </c>
      <c r="C8">
        <v>4.0999999999999996</v>
      </c>
      <c r="D8">
        <v>2.5</v>
      </c>
      <c r="I8" s="1">
        <v>0.08</v>
      </c>
      <c r="O8" s="1">
        <v>0.08</v>
      </c>
      <c r="S8" s="2"/>
    </row>
    <row r="9" spans="1:19" x14ac:dyDescent="0.35">
      <c r="B9" s="1">
        <v>0.09</v>
      </c>
      <c r="C9">
        <v>4.5999999999999996</v>
      </c>
      <c r="I9" s="1">
        <v>0.09</v>
      </c>
      <c r="O9" s="1">
        <v>0.09</v>
      </c>
      <c r="S9" s="2"/>
    </row>
    <row r="10" spans="1:19" x14ac:dyDescent="0.35">
      <c r="A10">
        <v>400</v>
      </c>
      <c r="B10" s="1">
        <v>0.1</v>
      </c>
      <c r="F10" s="2">
        <v>1.88</v>
      </c>
      <c r="H10">
        <v>400</v>
      </c>
      <c r="I10" s="1">
        <v>0.1</v>
      </c>
      <c r="J10">
        <v>1.47</v>
      </c>
      <c r="N10">
        <v>400</v>
      </c>
      <c r="O10" s="1">
        <v>0.1</v>
      </c>
      <c r="P10">
        <v>0.37</v>
      </c>
      <c r="Q10" t="s">
        <v>71</v>
      </c>
      <c r="S10" s="2"/>
    </row>
    <row r="11" spans="1:19" x14ac:dyDescent="0.35">
      <c r="B11" s="1">
        <v>0.11</v>
      </c>
      <c r="I11" s="1">
        <v>0.11</v>
      </c>
      <c r="O11" s="1">
        <v>0.11</v>
      </c>
      <c r="S11" s="2"/>
    </row>
    <row r="12" spans="1:19" x14ac:dyDescent="0.35">
      <c r="B12" s="1">
        <v>0.12</v>
      </c>
      <c r="I12" s="1">
        <v>0.12</v>
      </c>
      <c r="O12" s="1">
        <v>0.12</v>
      </c>
      <c r="S12" s="2"/>
    </row>
    <row r="13" spans="1:19" x14ac:dyDescent="0.35">
      <c r="B13" s="1">
        <v>0.13</v>
      </c>
      <c r="D13">
        <v>3.7</v>
      </c>
      <c r="I13" s="1">
        <v>0.13</v>
      </c>
      <c r="O13" s="1">
        <v>0.13</v>
      </c>
      <c r="S13" s="2"/>
    </row>
    <row r="14" spans="1:19" x14ac:dyDescent="0.35">
      <c r="B14" s="1">
        <v>0.14000000000000001</v>
      </c>
      <c r="I14" s="1">
        <v>0.14000000000000001</v>
      </c>
      <c r="O14" s="1">
        <v>0.14000000000000001</v>
      </c>
      <c r="S14" s="2"/>
    </row>
    <row r="15" spans="1:19" x14ac:dyDescent="0.35">
      <c r="A15">
        <v>600</v>
      </c>
      <c r="B15" s="1">
        <v>0.15</v>
      </c>
      <c r="F15" s="2">
        <v>2.5</v>
      </c>
      <c r="H15">
        <v>600</v>
      </c>
      <c r="I15" s="1">
        <v>0.15</v>
      </c>
      <c r="N15">
        <v>600</v>
      </c>
      <c r="O15" s="1">
        <v>0.15</v>
      </c>
      <c r="P15">
        <v>0.61499999999999999</v>
      </c>
      <c r="Q15">
        <v>1.08</v>
      </c>
      <c r="S15" s="2"/>
    </row>
    <row r="16" spans="1:19" x14ac:dyDescent="0.35">
      <c r="B16" s="1">
        <v>0.16</v>
      </c>
      <c r="I16" s="1">
        <v>0.16</v>
      </c>
      <c r="O16" s="1">
        <v>0.16</v>
      </c>
      <c r="S16" s="2"/>
    </row>
    <row r="17" spans="1:19" x14ac:dyDescent="0.35">
      <c r="B17" s="1">
        <v>0.17</v>
      </c>
      <c r="I17" s="1">
        <v>0.17</v>
      </c>
      <c r="O17" s="1">
        <v>0.17</v>
      </c>
      <c r="S17" s="2"/>
    </row>
    <row r="18" spans="1:19" x14ac:dyDescent="0.35">
      <c r="B18" s="1">
        <v>0.18</v>
      </c>
      <c r="I18" s="1">
        <v>0.18</v>
      </c>
      <c r="O18" s="1">
        <v>0.18</v>
      </c>
      <c r="S18" s="2"/>
    </row>
    <row r="19" spans="1:19" x14ac:dyDescent="0.35">
      <c r="B19" s="1">
        <v>0.19</v>
      </c>
      <c r="I19" s="1">
        <v>0.19</v>
      </c>
      <c r="O19" s="1">
        <v>0.19</v>
      </c>
      <c r="S19" s="2"/>
    </row>
    <row r="20" spans="1:19" x14ac:dyDescent="0.35">
      <c r="A20">
        <v>800</v>
      </c>
      <c r="B20" s="1">
        <v>0.2</v>
      </c>
      <c r="F20" s="2">
        <v>3</v>
      </c>
      <c r="H20">
        <v>800</v>
      </c>
      <c r="I20" s="1">
        <v>0.2</v>
      </c>
      <c r="J20">
        <v>1.47</v>
      </c>
      <c r="N20">
        <v>800</v>
      </c>
      <c r="O20" s="1">
        <v>0.2</v>
      </c>
      <c r="P20">
        <v>0.79700000000000004</v>
      </c>
      <c r="Q20" t="s">
        <v>72</v>
      </c>
      <c r="S20" s="2"/>
    </row>
    <row r="21" spans="1:19" x14ac:dyDescent="0.35">
      <c r="B21" s="1">
        <v>0.21</v>
      </c>
      <c r="I21" s="1">
        <v>0.21</v>
      </c>
    </row>
    <row r="22" spans="1:19" x14ac:dyDescent="0.35">
      <c r="B22" s="1">
        <v>0.22</v>
      </c>
      <c r="I22" s="1">
        <v>0.22</v>
      </c>
    </row>
    <row r="23" spans="1:19" x14ac:dyDescent="0.35">
      <c r="B23" s="1">
        <v>0.23</v>
      </c>
      <c r="I23" s="1">
        <v>0.23</v>
      </c>
    </row>
    <row r="24" spans="1:19" x14ac:dyDescent="0.35">
      <c r="B24" s="1">
        <v>0.24</v>
      </c>
      <c r="I24" s="1">
        <v>0.24</v>
      </c>
    </row>
    <row r="25" spans="1:19" x14ac:dyDescent="0.35">
      <c r="A25">
        <v>1000</v>
      </c>
      <c r="B25" s="1">
        <v>0.25</v>
      </c>
      <c r="F25" s="2">
        <v>3.38</v>
      </c>
      <c r="H25">
        <v>1000</v>
      </c>
      <c r="I25" s="1">
        <v>0.25</v>
      </c>
      <c r="J25">
        <v>1.47</v>
      </c>
    </row>
    <row r="26" spans="1:19" x14ac:dyDescent="0.35">
      <c r="B26" s="1">
        <v>0.26</v>
      </c>
      <c r="I26" s="1">
        <v>0.26</v>
      </c>
    </row>
    <row r="27" spans="1:19" x14ac:dyDescent="0.35">
      <c r="B27" s="1">
        <v>0.27</v>
      </c>
      <c r="I27" s="1">
        <v>0.27</v>
      </c>
    </row>
    <row r="28" spans="1:19" x14ac:dyDescent="0.35">
      <c r="B28" s="1">
        <v>0.28000000000000003</v>
      </c>
      <c r="I28" s="1">
        <v>0.28000000000000003</v>
      </c>
    </row>
    <row r="29" spans="1:19" x14ac:dyDescent="0.35">
      <c r="B29" s="1">
        <v>0.28999999999999998</v>
      </c>
      <c r="I29" s="1">
        <v>0.28999999999999998</v>
      </c>
    </row>
    <row r="30" spans="1:19" x14ac:dyDescent="0.35">
      <c r="B30" s="1">
        <v>0.3</v>
      </c>
      <c r="I30" s="1">
        <v>0.3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373F4-1619-4C81-90D3-9059A6DB6F90}">
  <dimension ref="A1:T47"/>
  <sheetViews>
    <sheetView workbookViewId="0">
      <selection sqref="A1:S44"/>
    </sheetView>
  </sheetViews>
  <sheetFormatPr baseColWidth="10" defaultRowHeight="14.5" x14ac:dyDescent="0.35"/>
  <cols>
    <col min="1" max="1" width="31.1796875" customWidth="1"/>
    <col min="5" max="5" width="13.90625" bestFit="1" customWidth="1"/>
    <col min="14" max="14" width="5.1796875" customWidth="1"/>
    <col min="15" max="15" width="28.36328125" customWidth="1"/>
  </cols>
  <sheetData>
    <row r="1" spans="1:20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5" thickBot="1" x14ac:dyDescent="0.4">
      <c r="A2" s="3" t="s">
        <v>10</v>
      </c>
      <c r="B2" s="45" t="s">
        <v>11</v>
      </c>
      <c r="C2" s="45"/>
      <c r="D2" s="45"/>
      <c r="E2" s="45"/>
      <c r="F2" s="3"/>
      <c r="G2" s="3"/>
      <c r="H2" s="4" t="s">
        <v>12</v>
      </c>
      <c r="I2" s="3"/>
      <c r="J2" s="3" t="s">
        <v>13</v>
      </c>
      <c r="K2" s="3"/>
      <c r="L2" s="3">
        <f>PI()</f>
        <v>3.1415926535897931</v>
      </c>
      <c r="M2" s="3"/>
      <c r="N2" s="3"/>
      <c r="O2" s="3" t="s">
        <v>14</v>
      </c>
      <c r="P2" s="3"/>
      <c r="Q2" s="3"/>
      <c r="R2" s="3"/>
      <c r="S2" s="3"/>
      <c r="T2" s="3"/>
    </row>
    <row r="3" spans="1:20" ht="15" thickBot="1" x14ac:dyDescent="0.4">
      <c r="A3" t="s">
        <v>68</v>
      </c>
      <c r="B3" s="5" t="s">
        <v>15</v>
      </c>
      <c r="C3" s="6"/>
      <c r="D3" s="7">
        <v>0.3</v>
      </c>
      <c r="E3" s="8" t="s">
        <v>16</v>
      </c>
      <c r="F3" s="3"/>
      <c r="G3" s="3"/>
      <c r="H3" s="9" t="s">
        <v>17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35">
      <c r="A4" t="s">
        <v>69</v>
      </c>
      <c r="B4" s="10" t="s">
        <v>18</v>
      </c>
      <c r="C4" s="3"/>
      <c r="D4" s="4">
        <v>2.0500000000000002E-3</v>
      </c>
      <c r="E4" s="11" t="s">
        <v>19</v>
      </c>
      <c r="F4" s="3"/>
      <c r="G4" s="3"/>
      <c r="H4" s="3"/>
      <c r="I4" s="3"/>
      <c r="J4" s="3"/>
      <c r="K4" s="3"/>
      <c r="L4" s="3"/>
      <c r="M4" s="3"/>
      <c r="N4" s="3"/>
      <c r="O4" s="5" t="s">
        <v>20</v>
      </c>
      <c r="P4" s="6"/>
      <c r="Q4" s="8"/>
      <c r="R4" s="3"/>
      <c r="S4" s="3"/>
      <c r="T4" s="3"/>
    </row>
    <row r="5" spans="1:20" ht="15" thickBot="1" x14ac:dyDescent="0.4">
      <c r="A5" t="s">
        <v>69</v>
      </c>
      <c r="B5" s="10" t="s">
        <v>21</v>
      </c>
      <c r="C5" s="3"/>
      <c r="D5" s="4">
        <f>D4</f>
        <v>2.0500000000000002E-3</v>
      </c>
      <c r="E5" s="11" t="s">
        <v>19</v>
      </c>
      <c r="F5" s="3"/>
      <c r="G5" s="3"/>
      <c r="H5" s="3"/>
      <c r="I5" s="3"/>
      <c r="J5" s="3"/>
      <c r="K5" s="3"/>
      <c r="L5" s="3"/>
      <c r="M5" s="3"/>
      <c r="N5" s="3"/>
      <c r="O5" s="12" t="s">
        <v>22</v>
      </c>
      <c r="P5" s="13"/>
      <c r="Q5" s="14">
        <f>(D3*D8)/10</f>
        <v>0.18</v>
      </c>
      <c r="R5" s="3"/>
      <c r="S5" s="3"/>
      <c r="T5" s="3"/>
    </row>
    <row r="6" spans="1:20" ht="15" thickBot="1" x14ac:dyDescent="0.4">
      <c r="A6" s="3" t="s">
        <v>271</v>
      </c>
      <c r="B6" s="10" t="s">
        <v>23</v>
      </c>
      <c r="C6" s="3"/>
      <c r="D6" s="4">
        <v>14</v>
      </c>
      <c r="E6" s="11" t="s">
        <v>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35">
      <c r="A7" s="3" t="s">
        <v>271</v>
      </c>
      <c r="B7" s="10" t="s">
        <v>25</v>
      </c>
      <c r="C7" s="3"/>
      <c r="D7" s="4">
        <v>20</v>
      </c>
      <c r="E7" s="11" t="s">
        <v>26</v>
      </c>
      <c r="F7" s="3"/>
      <c r="G7" s="3"/>
      <c r="H7" s="3"/>
      <c r="I7" s="3"/>
      <c r="J7" s="3"/>
      <c r="K7" s="3"/>
      <c r="L7" s="3"/>
      <c r="M7" s="3"/>
      <c r="N7" s="3"/>
      <c r="O7" s="5" t="s">
        <v>27</v>
      </c>
      <c r="P7" s="6"/>
      <c r="Q7" s="8"/>
      <c r="R7" s="3"/>
      <c r="S7" s="3"/>
      <c r="T7" s="3"/>
    </row>
    <row r="8" spans="1:20" ht="15" thickBot="1" x14ac:dyDescent="0.4">
      <c r="A8" s="3" t="s">
        <v>271</v>
      </c>
      <c r="B8" s="10" t="s">
        <v>28</v>
      </c>
      <c r="C8" s="3"/>
      <c r="D8" s="4">
        <v>6</v>
      </c>
      <c r="E8" s="11" t="s">
        <v>26</v>
      </c>
      <c r="F8" s="3"/>
      <c r="G8" s="3"/>
      <c r="H8" s="3"/>
      <c r="I8" s="3"/>
      <c r="J8" s="3"/>
      <c r="K8" s="3"/>
      <c r="L8" s="3"/>
      <c r="M8" s="3"/>
      <c r="N8" s="3"/>
      <c r="O8" s="12" t="s">
        <v>29</v>
      </c>
      <c r="P8" s="13"/>
      <c r="Q8" s="14">
        <f>D10/D12</f>
        <v>6.8209261325097997E-3</v>
      </c>
      <c r="R8" s="3"/>
      <c r="S8" s="3"/>
      <c r="T8" s="3"/>
    </row>
    <row r="9" spans="1:20" x14ac:dyDescent="0.35">
      <c r="A9" s="15" t="s">
        <v>30</v>
      </c>
      <c r="B9" s="10" t="s">
        <v>31</v>
      </c>
      <c r="C9" s="3"/>
      <c r="D9" s="4">
        <f>D8*0.25</f>
        <v>1.5</v>
      </c>
      <c r="E9" s="11" t="s">
        <v>26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5" thickBot="1" x14ac:dyDescent="0.4">
      <c r="A10" s="3" t="s">
        <v>271</v>
      </c>
      <c r="B10" s="10" t="s">
        <v>32</v>
      </c>
      <c r="C10" s="3"/>
      <c r="D10" s="4">
        <v>20</v>
      </c>
      <c r="E10" s="11" t="s">
        <v>33</v>
      </c>
      <c r="F10" s="3"/>
      <c r="G10" s="3"/>
      <c r="H10" s="3"/>
      <c r="I10" s="3"/>
      <c r="J10" s="3"/>
      <c r="K10" s="3"/>
      <c r="L10" s="3"/>
      <c r="M10" s="3"/>
      <c r="N10" s="3"/>
      <c r="O10" s="12"/>
      <c r="P10" s="3"/>
      <c r="Q10" s="3"/>
      <c r="R10" s="3"/>
      <c r="S10" s="3"/>
      <c r="T10" s="3"/>
    </row>
    <row r="11" spans="1:20" ht="15" thickBot="1" x14ac:dyDescent="0.4">
      <c r="A11" s="3" t="s">
        <v>271</v>
      </c>
      <c r="B11" s="10" t="s">
        <v>34</v>
      </c>
      <c r="C11" s="3"/>
      <c r="D11" s="4">
        <v>4000</v>
      </c>
      <c r="E11" s="11" t="s">
        <v>35</v>
      </c>
      <c r="F11" s="3"/>
      <c r="G11" s="3"/>
      <c r="H11" s="3"/>
      <c r="I11" s="3"/>
      <c r="J11" s="3"/>
      <c r="K11" s="3"/>
      <c r="L11" s="3"/>
      <c r="M11" s="3"/>
      <c r="N11" s="3"/>
      <c r="O11" s="12"/>
      <c r="P11" s="3"/>
      <c r="Q11" s="3"/>
      <c r="R11" s="3"/>
      <c r="S11" s="3"/>
      <c r="T11" s="3"/>
    </row>
    <row r="12" spans="1:20" ht="15" thickBot="1" x14ac:dyDescent="0.4">
      <c r="A12" s="3" t="s">
        <v>272</v>
      </c>
      <c r="B12" s="12" t="s">
        <v>34</v>
      </c>
      <c r="C12" s="13"/>
      <c r="D12" s="16">
        <f>((D11*1/60)*L2)*D6</f>
        <v>2932.1531433504738</v>
      </c>
      <c r="E12" s="17" t="s">
        <v>36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35">
      <c r="A13" s="3"/>
      <c r="B13" s="3"/>
      <c r="C13" s="3"/>
      <c r="D13" s="3"/>
      <c r="E13" s="3"/>
      <c r="F13" s="3" t="s">
        <v>37</v>
      </c>
      <c r="G13" s="3"/>
      <c r="H13" s="3"/>
      <c r="I13" s="3"/>
      <c r="J13" s="3"/>
      <c r="K13" s="3"/>
      <c r="L13" s="3"/>
      <c r="M13" s="3"/>
      <c r="N13" s="3"/>
      <c r="O13" s="3"/>
      <c r="Q13" s="3"/>
      <c r="R13" s="3"/>
      <c r="S13" s="3"/>
      <c r="T13" s="3"/>
    </row>
    <row r="14" spans="1:20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x14ac:dyDescent="0.35">
      <c r="A15" s="3"/>
      <c r="B15" s="3"/>
      <c r="C15" s="3"/>
      <c r="D15" s="3"/>
      <c r="E15" s="3"/>
      <c r="F15" s="3"/>
      <c r="G15" s="3"/>
      <c r="H15" s="3"/>
      <c r="I15" s="3" t="s">
        <v>38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x14ac:dyDescent="0.35">
      <c r="A16" s="3"/>
      <c r="B16" s="3"/>
      <c r="C16" s="3" t="s">
        <v>39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35">
      <c r="A18" s="3"/>
      <c r="B18" s="3"/>
      <c r="C18" s="3" t="s">
        <v>40</v>
      </c>
      <c r="D18" s="3"/>
      <c r="E18" s="3" t="s">
        <v>41</v>
      </c>
      <c r="F18" s="3" t="s">
        <v>42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18"/>
      <c r="R18" s="3"/>
      <c r="S18" s="3"/>
      <c r="T18" s="3"/>
    </row>
    <row r="19" spans="1:20" ht="15" thickBot="1" x14ac:dyDescent="0.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43</v>
      </c>
      <c r="P19" s="3"/>
      <c r="Q19" s="18"/>
      <c r="R19" s="3"/>
      <c r="S19" s="3"/>
      <c r="T19" s="3"/>
    </row>
    <row r="20" spans="1:20" ht="15" thickBot="1" x14ac:dyDescent="0.4">
      <c r="A20" s="3" t="s">
        <v>44</v>
      </c>
      <c r="B20" s="3" t="s">
        <v>45</v>
      </c>
      <c r="C20" s="19" t="s">
        <v>46</v>
      </c>
      <c r="D20" s="20" t="s">
        <v>47</v>
      </c>
      <c r="E20" s="21">
        <v>1675</v>
      </c>
      <c r="F20" s="22">
        <v>4606</v>
      </c>
      <c r="G20" s="3">
        <v>1190</v>
      </c>
      <c r="H20" s="3">
        <v>723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35">
      <c r="A21" s="3" t="s">
        <v>48</v>
      </c>
      <c r="B21" s="3" t="s">
        <v>49</v>
      </c>
      <c r="C21" s="19" t="s">
        <v>50</v>
      </c>
      <c r="D21" s="23" t="s">
        <v>51</v>
      </c>
      <c r="E21" s="24">
        <v>20</v>
      </c>
      <c r="F21" s="25">
        <v>54.5</v>
      </c>
      <c r="G21" s="3">
        <v>121</v>
      </c>
      <c r="H21" s="3">
        <v>74</v>
      </c>
      <c r="I21" s="3"/>
      <c r="J21" s="3"/>
      <c r="K21" s="3"/>
      <c r="L21" s="3"/>
      <c r="M21" s="3"/>
      <c r="N21" s="3"/>
      <c r="O21" s="5" t="s">
        <v>22</v>
      </c>
      <c r="P21" s="6"/>
      <c r="Q21" s="26">
        <f>F21-(Q22*F20)</f>
        <v>0.2840327533265139</v>
      </c>
      <c r="R21" s="3"/>
      <c r="S21" s="3"/>
      <c r="T21" s="3"/>
    </row>
    <row r="22" spans="1:20" ht="15" thickBot="1" x14ac:dyDescent="0.4">
      <c r="A22" s="3"/>
      <c r="B22" s="3" t="s">
        <v>49</v>
      </c>
      <c r="C22" s="3" t="s">
        <v>52</v>
      </c>
      <c r="D22" s="27" t="s">
        <v>53</v>
      </c>
      <c r="E22" s="28">
        <v>1E-3</v>
      </c>
      <c r="F22" s="29">
        <v>3.0000000000000001E-3</v>
      </c>
      <c r="G22" s="3">
        <v>0.02</v>
      </c>
      <c r="H22" s="3">
        <v>0.02</v>
      </c>
      <c r="I22" s="3"/>
      <c r="J22" s="3"/>
      <c r="K22" s="3"/>
      <c r="L22" s="3"/>
      <c r="M22" s="3"/>
      <c r="N22" s="3"/>
      <c r="O22" s="10" t="s">
        <v>29</v>
      </c>
      <c r="P22" s="3"/>
      <c r="Q22" s="30">
        <f>(F21-E21)/(F20-E20)</f>
        <v>1.1770726714431934E-2</v>
      </c>
      <c r="R22" s="3"/>
      <c r="S22" s="3"/>
      <c r="T22" s="3"/>
    </row>
    <row r="23" spans="1:20" x14ac:dyDescent="0.35">
      <c r="A23" s="3"/>
      <c r="B23" s="3" t="s">
        <v>54</v>
      </c>
      <c r="C23" s="3"/>
      <c r="D23" s="3"/>
      <c r="E23" s="31">
        <v>4</v>
      </c>
      <c r="F23" s="3" t="s">
        <v>55</v>
      </c>
      <c r="G23" s="3"/>
      <c r="H23" s="3"/>
      <c r="I23" s="3"/>
      <c r="J23" s="3"/>
      <c r="K23" s="3"/>
      <c r="L23" s="3"/>
      <c r="M23" s="3"/>
      <c r="N23" s="3" t="s">
        <v>56</v>
      </c>
      <c r="O23" s="10" t="s">
        <v>57</v>
      </c>
      <c r="P23" s="3"/>
      <c r="Q23" s="30">
        <f>(F22-E22)/D30</f>
        <v>1.9106107130672124E-5</v>
      </c>
      <c r="R23" s="3"/>
      <c r="S23" s="3"/>
      <c r="T23" s="3"/>
    </row>
    <row r="24" spans="1:20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 t="s">
        <v>58</v>
      </c>
      <c r="O24" s="10" t="s">
        <v>59</v>
      </c>
      <c r="P24" s="3"/>
      <c r="Q24" s="30">
        <f>(F22-E22)/(F29-E29)</f>
        <v>4.776526782668031E-6</v>
      </c>
      <c r="R24" s="3"/>
      <c r="S24" s="3"/>
      <c r="T24" s="3"/>
    </row>
    <row r="25" spans="1:20" ht="15" thickBot="1" x14ac:dyDescent="0.4">
      <c r="A25" s="3"/>
      <c r="B25" s="3"/>
      <c r="C25" s="3"/>
      <c r="D25" s="3"/>
      <c r="E25" s="3"/>
      <c r="F25" s="3"/>
      <c r="G25" s="3"/>
      <c r="H25" s="3"/>
      <c r="I25" s="3" t="s">
        <v>60</v>
      </c>
      <c r="J25" s="3"/>
      <c r="K25" s="3"/>
      <c r="L25" s="3"/>
      <c r="M25" s="3"/>
      <c r="N25" s="3" t="s">
        <v>61</v>
      </c>
      <c r="O25" s="12" t="s">
        <v>62</v>
      </c>
      <c r="P25" s="13"/>
      <c r="Q25" s="14">
        <f>F22-(Q24*F29)</f>
        <v>-1.4295462299556425E-4</v>
      </c>
      <c r="R25" s="3"/>
      <c r="S25" s="3"/>
      <c r="T25" s="3"/>
    </row>
    <row r="26" spans="1:20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5" thickBot="1" x14ac:dyDescent="0.4">
      <c r="A28" s="3"/>
      <c r="B28" s="3"/>
      <c r="C28" s="3" t="s">
        <v>63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x14ac:dyDescent="0.35">
      <c r="A29" s="3"/>
      <c r="B29" s="3"/>
      <c r="C29" s="3" t="s">
        <v>64</v>
      </c>
      <c r="D29" s="32" t="s">
        <v>65</v>
      </c>
      <c r="E29" s="33">
        <f>E20*2/D6</f>
        <v>239.28571428571428</v>
      </c>
      <c r="F29" s="34">
        <f>F20*2/D6</f>
        <v>658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x14ac:dyDescent="0.35">
      <c r="A30" s="3"/>
      <c r="B30" s="3"/>
      <c r="C30" s="3" t="s">
        <v>66</v>
      </c>
      <c r="D30" s="3">
        <f>(F29-E29)/E23</f>
        <v>104.67857142857143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35">
      <c r="A34" s="3"/>
      <c r="B34" s="3"/>
      <c r="C34" s="3"/>
      <c r="D34" s="3"/>
      <c r="E34" s="3"/>
      <c r="F34" s="3"/>
      <c r="G34" s="3"/>
      <c r="H34" s="3"/>
      <c r="I34" s="3" t="s">
        <v>67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</sheetData>
  <mergeCells count="1">
    <mergeCell ref="B2:E2"/>
  </mergeCells>
  <pageMargins left="0.7" right="0.7" top="0.78740157499999996" bottom="0.78740157499999996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24D7-6232-48BC-920F-41308240924F}">
  <dimension ref="A1:S44"/>
  <sheetViews>
    <sheetView tabSelected="1" workbookViewId="0">
      <selection activeCell="R12" sqref="R12"/>
    </sheetView>
  </sheetViews>
  <sheetFormatPr baseColWidth="10" defaultRowHeight="14.5" x14ac:dyDescent="0.35"/>
  <cols>
    <col min="1" max="1" width="26.453125" bestFit="1" customWidth="1"/>
    <col min="5" max="5" width="13.90625" bestFit="1" customWidth="1"/>
  </cols>
  <sheetData>
    <row r="1" spans="1:19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5" thickBot="1" x14ac:dyDescent="0.4">
      <c r="A2" s="3" t="s">
        <v>10</v>
      </c>
      <c r="B2" s="45" t="s">
        <v>11</v>
      </c>
      <c r="C2" s="45"/>
      <c r="D2" s="45"/>
      <c r="E2" s="45"/>
      <c r="F2" s="3"/>
      <c r="G2" s="3"/>
      <c r="H2" s="4" t="s">
        <v>12</v>
      </c>
      <c r="I2" s="3"/>
      <c r="J2" s="3" t="s">
        <v>13</v>
      </c>
      <c r="K2" s="3"/>
      <c r="L2" s="3">
        <f>PI()</f>
        <v>3.1415926535897931</v>
      </c>
      <c r="M2" s="3"/>
      <c r="N2" s="3"/>
      <c r="O2" s="3" t="s">
        <v>14</v>
      </c>
      <c r="P2" s="3"/>
      <c r="Q2" s="3"/>
      <c r="R2" s="3"/>
      <c r="S2" s="3"/>
    </row>
    <row r="3" spans="1:19" ht="15" thickBot="1" x14ac:dyDescent="0.4">
      <c r="A3" t="s">
        <v>68</v>
      </c>
      <c r="B3" s="5" t="s">
        <v>15</v>
      </c>
      <c r="C3" s="6"/>
      <c r="D3" s="7">
        <v>0.44700000000000001</v>
      </c>
      <c r="E3" s="8" t="s">
        <v>16</v>
      </c>
      <c r="F3" s="3"/>
      <c r="G3" s="3"/>
      <c r="H3" s="9" t="s">
        <v>17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35">
      <c r="A4" t="s">
        <v>69</v>
      </c>
      <c r="B4" s="10" t="s">
        <v>18</v>
      </c>
      <c r="C4" s="3"/>
      <c r="D4" s="4">
        <v>4.46E-4</v>
      </c>
      <c r="E4" s="11" t="s">
        <v>19</v>
      </c>
      <c r="F4" s="3"/>
      <c r="G4" s="3"/>
      <c r="H4" s="3"/>
      <c r="I4" s="3"/>
      <c r="J4" s="3"/>
      <c r="K4" s="3"/>
      <c r="L4" s="3"/>
      <c r="M4" s="3"/>
      <c r="N4" s="3"/>
      <c r="O4" s="5" t="s">
        <v>20</v>
      </c>
      <c r="P4" s="6"/>
      <c r="Q4" s="8"/>
      <c r="R4" s="3"/>
      <c r="S4" s="3"/>
    </row>
    <row r="5" spans="1:19" ht="15" thickBot="1" x14ac:dyDescent="0.4">
      <c r="A5" t="s">
        <v>69</v>
      </c>
      <c r="B5" s="10" t="s">
        <v>21</v>
      </c>
      <c r="C5" s="3"/>
      <c r="D5" s="4">
        <f>D4</f>
        <v>4.46E-4</v>
      </c>
      <c r="E5" s="11" t="s">
        <v>19</v>
      </c>
      <c r="F5" s="3"/>
      <c r="G5" s="3"/>
      <c r="H5" s="3"/>
      <c r="I5" s="3"/>
      <c r="J5" s="3"/>
      <c r="K5" s="3"/>
      <c r="L5" s="3"/>
      <c r="M5" s="3"/>
      <c r="N5" s="3"/>
      <c r="O5" s="12" t="s">
        <v>22</v>
      </c>
      <c r="P5" s="13"/>
      <c r="Q5" s="14">
        <f>(D3*D8)/10</f>
        <v>0.159579</v>
      </c>
      <c r="R5" s="3"/>
      <c r="S5" s="3"/>
    </row>
    <row r="6" spans="1:19" ht="15" thickBot="1" x14ac:dyDescent="0.4">
      <c r="A6" s="3" t="s">
        <v>271</v>
      </c>
      <c r="B6" s="10" t="s">
        <v>23</v>
      </c>
      <c r="C6" s="3"/>
      <c r="D6" s="4">
        <v>8</v>
      </c>
      <c r="E6" s="11" t="s">
        <v>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35">
      <c r="A7" s="3" t="s">
        <v>271</v>
      </c>
      <c r="B7" s="10" t="s">
        <v>25</v>
      </c>
      <c r="C7" s="3"/>
      <c r="D7" s="4">
        <v>10.7</v>
      </c>
      <c r="E7" s="11" t="s">
        <v>26</v>
      </c>
      <c r="F7" s="3"/>
      <c r="G7" s="3"/>
      <c r="H7" s="3"/>
      <c r="I7" s="3"/>
      <c r="J7" s="3"/>
      <c r="K7" s="3"/>
      <c r="L7" s="3"/>
      <c r="M7" s="3"/>
      <c r="N7" s="3"/>
      <c r="O7" s="5" t="s">
        <v>27</v>
      </c>
      <c r="P7" s="6"/>
      <c r="Q7" s="8"/>
      <c r="R7" s="3"/>
      <c r="S7" s="3"/>
    </row>
    <row r="8" spans="1:19" ht="15" thickBot="1" x14ac:dyDescent="0.4">
      <c r="A8" s="3" t="s">
        <v>271</v>
      </c>
      <c r="B8" s="10" t="s">
        <v>28</v>
      </c>
      <c r="C8" s="3"/>
      <c r="D8" s="4">
        <v>3.57</v>
      </c>
      <c r="E8" s="11" t="s">
        <v>26</v>
      </c>
      <c r="F8" s="3"/>
      <c r="G8" s="3"/>
      <c r="H8" s="3"/>
      <c r="I8" s="3"/>
      <c r="J8" s="3"/>
      <c r="K8" s="3"/>
      <c r="L8" s="3"/>
      <c r="M8" s="3"/>
      <c r="N8" s="3"/>
      <c r="O8" s="12" t="s">
        <v>29</v>
      </c>
      <c r="P8" s="13"/>
      <c r="Q8" s="14">
        <f>D10/D12</f>
        <v>8.1851113590117597E-3</v>
      </c>
      <c r="R8" s="3"/>
      <c r="S8" s="3">
        <v>6.0000000000000001E-3</v>
      </c>
    </row>
    <row r="9" spans="1:19" x14ac:dyDescent="0.35">
      <c r="A9" s="15" t="s">
        <v>30</v>
      </c>
      <c r="B9" s="10" t="s">
        <v>31</v>
      </c>
      <c r="C9" s="3"/>
      <c r="D9" s="4">
        <f>D8*0.25</f>
        <v>0.89249999999999996</v>
      </c>
      <c r="E9" s="11" t="s">
        <v>26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5" thickBot="1" x14ac:dyDescent="0.4">
      <c r="A10" s="3" t="s">
        <v>271</v>
      </c>
      <c r="B10" s="10" t="s">
        <v>32</v>
      </c>
      <c r="C10" s="3"/>
      <c r="D10" s="4">
        <v>48</v>
      </c>
      <c r="E10" s="11" t="s">
        <v>33</v>
      </c>
      <c r="F10" s="3"/>
      <c r="G10" s="3"/>
      <c r="H10" s="3"/>
      <c r="I10" s="3"/>
      <c r="J10" s="3"/>
      <c r="K10" s="3"/>
      <c r="L10" s="3"/>
      <c r="M10" s="3"/>
      <c r="N10" s="3"/>
      <c r="O10" s="12"/>
      <c r="P10" s="3"/>
      <c r="Q10" s="3"/>
      <c r="R10" s="3"/>
      <c r="S10" s="3"/>
    </row>
    <row r="11" spans="1:19" ht="15" thickBot="1" x14ac:dyDescent="0.4">
      <c r="A11" s="3" t="s">
        <v>271</v>
      </c>
      <c r="B11" s="10" t="s">
        <v>34</v>
      </c>
      <c r="C11" s="3"/>
      <c r="D11" s="4">
        <v>14000</v>
      </c>
      <c r="E11" s="11" t="s">
        <v>35</v>
      </c>
      <c r="F11" s="3"/>
      <c r="G11" s="3"/>
      <c r="H11" s="3"/>
      <c r="I11" s="3"/>
      <c r="J11" s="3"/>
      <c r="K11" s="3"/>
      <c r="L11" s="3"/>
      <c r="M11" s="3"/>
      <c r="N11" s="3"/>
      <c r="O11" s="12"/>
      <c r="P11" s="3"/>
      <c r="Q11" s="3"/>
      <c r="R11" s="3"/>
      <c r="S11" s="3"/>
    </row>
    <row r="12" spans="1:19" ht="15" thickBot="1" x14ac:dyDescent="0.4">
      <c r="A12" s="3" t="s">
        <v>272</v>
      </c>
      <c r="B12" s="12" t="s">
        <v>34</v>
      </c>
      <c r="C12" s="13"/>
      <c r="D12" s="16">
        <f>((D11*1/60)*L2)*D6</f>
        <v>5864.3062867009476</v>
      </c>
      <c r="E12" s="17" t="s">
        <v>36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35">
      <c r="A13" s="3"/>
      <c r="B13" s="3"/>
      <c r="C13" s="3"/>
      <c r="D13" s="3"/>
      <c r="E13" s="3"/>
      <c r="F13" s="3" t="s">
        <v>37</v>
      </c>
      <c r="G13" s="3"/>
      <c r="H13" s="3"/>
      <c r="I13" s="3"/>
      <c r="J13" s="3"/>
      <c r="K13" s="3"/>
      <c r="L13" s="3"/>
      <c r="M13" s="3"/>
      <c r="N13" s="3"/>
      <c r="O13" s="3"/>
      <c r="Q13" s="3"/>
      <c r="R13" s="3"/>
      <c r="S13" s="3"/>
    </row>
    <row r="14" spans="1:19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35">
      <c r="A15" s="3"/>
      <c r="B15" s="3"/>
      <c r="C15" s="3"/>
      <c r="D15" s="3"/>
      <c r="E15" s="3"/>
      <c r="F15" s="3"/>
      <c r="G15" s="3"/>
      <c r="H15" s="3"/>
      <c r="I15" s="3" t="s">
        <v>38</v>
      </c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35">
      <c r="A16" s="3"/>
      <c r="B16" s="3"/>
      <c r="C16" s="3" t="s">
        <v>39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35">
      <c r="A18" s="3"/>
      <c r="B18" s="3"/>
      <c r="C18" s="3" t="s">
        <v>40</v>
      </c>
      <c r="D18" s="3"/>
      <c r="E18" s="3" t="s">
        <v>41</v>
      </c>
      <c r="F18" s="3" t="s">
        <v>42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18"/>
      <c r="R18" s="3"/>
      <c r="S18" s="3"/>
    </row>
    <row r="19" spans="1:19" ht="15" thickBot="1" x14ac:dyDescent="0.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43</v>
      </c>
      <c r="P19" s="3"/>
      <c r="Q19" s="18"/>
      <c r="R19" s="3"/>
      <c r="S19" s="3"/>
    </row>
    <row r="20" spans="1:19" ht="15" thickBot="1" x14ac:dyDescent="0.4">
      <c r="A20" s="3" t="s">
        <v>44</v>
      </c>
      <c r="B20" s="3" t="s">
        <v>45</v>
      </c>
      <c r="C20" s="19" t="s">
        <v>46</v>
      </c>
      <c r="D20" s="20" t="s">
        <v>47</v>
      </c>
      <c r="E20" s="21">
        <v>1675</v>
      </c>
      <c r="F20" s="22">
        <v>4606</v>
      </c>
      <c r="G20" s="3">
        <v>1190</v>
      </c>
      <c r="H20" s="3">
        <v>723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35">
      <c r="A21" s="3" t="s">
        <v>48</v>
      </c>
      <c r="B21" s="3" t="s">
        <v>49</v>
      </c>
      <c r="C21" s="19" t="s">
        <v>50</v>
      </c>
      <c r="D21" s="23" t="s">
        <v>51</v>
      </c>
      <c r="E21" s="24">
        <v>20</v>
      </c>
      <c r="F21" s="25">
        <v>54.5</v>
      </c>
      <c r="G21" s="3">
        <v>121</v>
      </c>
      <c r="H21" s="3">
        <v>74</v>
      </c>
      <c r="I21" s="3"/>
      <c r="J21" s="3"/>
      <c r="K21" s="3"/>
      <c r="L21" s="3"/>
      <c r="M21" s="3"/>
      <c r="N21" s="3"/>
      <c r="O21" s="5" t="s">
        <v>22</v>
      </c>
      <c r="P21" s="6"/>
      <c r="Q21" s="26">
        <f>F21-(Q22*F20)</f>
        <v>0.2840327533265139</v>
      </c>
      <c r="R21" s="3"/>
      <c r="S21" s="3"/>
    </row>
    <row r="22" spans="1:19" ht="15" thickBot="1" x14ac:dyDescent="0.4">
      <c r="A22" s="3"/>
      <c r="B22" s="3" t="s">
        <v>49</v>
      </c>
      <c r="C22" s="3" t="s">
        <v>52</v>
      </c>
      <c r="D22" s="27" t="s">
        <v>53</v>
      </c>
      <c r="E22" s="28">
        <v>1E-3</v>
      </c>
      <c r="F22" s="29">
        <v>3.0000000000000001E-3</v>
      </c>
      <c r="G22" s="3">
        <v>0.02</v>
      </c>
      <c r="H22" s="3">
        <v>0.02</v>
      </c>
      <c r="I22" s="3"/>
      <c r="J22" s="3"/>
      <c r="K22" s="3"/>
      <c r="L22" s="3"/>
      <c r="M22" s="3"/>
      <c r="N22" s="3"/>
      <c r="O22" s="10" t="s">
        <v>29</v>
      </c>
      <c r="P22" s="3"/>
      <c r="Q22" s="30">
        <f>(F21-E21)/(F20-E20)</f>
        <v>1.1770726714431934E-2</v>
      </c>
      <c r="R22" s="3"/>
      <c r="S22" s="3"/>
    </row>
    <row r="23" spans="1:19" x14ac:dyDescent="0.35">
      <c r="A23" s="3"/>
      <c r="B23" s="3" t="s">
        <v>54</v>
      </c>
      <c r="C23" s="3"/>
      <c r="D23" s="3"/>
      <c r="E23" s="31">
        <v>4</v>
      </c>
      <c r="F23" s="3" t="s">
        <v>55</v>
      </c>
      <c r="G23" s="3"/>
      <c r="H23" s="3"/>
      <c r="I23" s="3"/>
      <c r="J23" s="3"/>
      <c r="K23" s="3"/>
      <c r="L23" s="3"/>
      <c r="M23" s="3"/>
      <c r="N23" s="3" t="s">
        <v>56</v>
      </c>
      <c r="O23" s="10" t="s">
        <v>57</v>
      </c>
      <c r="P23" s="3"/>
      <c r="Q23" s="30">
        <f>(F22-E22)/D30</f>
        <v>1.0917775503241214E-5</v>
      </c>
      <c r="R23" s="3"/>
      <c r="S23" s="3"/>
    </row>
    <row r="24" spans="1:19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 t="s">
        <v>58</v>
      </c>
      <c r="O24" s="10" t="s">
        <v>59</v>
      </c>
      <c r="P24" s="3"/>
      <c r="Q24" s="30">
        <f>(F22-E22)/(F29-E29)</f>
        <v>2.7294438758103036E-6</v>
      </c>
      <c r="R24" s="3"/>
      <c r="S24" s="3"/>
    </row>
    <row r="25" spans="1:19" ht="15" thickBot="1" x14ac:dyDescent="0.4">
      <c r="A25" s="3"/>
      <c r="B25" s="3"/>
      <c r="C25" s="3"/>
      <c r="D25" s="3"/>
      <c r="E25" s="3"/>
      <c r="F25" s="3"/>
      <c r="G25" s="3"/>
      <c r="H25" s="3"/>
      <c r="I25" s="3" t="s">
        <v>60</v>
      </c>
      <c r="J25" s="3"/>
      <c r="K25" s="3"/>
      <c r="L25" s="3"/>
      <c r="M25" s="3"/>
      <c r="N25" s="3" t="s">
        <v>61</v>
      </c>
      <c r="O25" s="12" t="s">
        <v>62</v>
      </c>
      <c r="P25" s="13"/>
      <c r="Q25" s="14">
        <f>F22-(Q24*F29)</f>
        <v>-1.4295462299556468E-4</v>
      </c>
      <c r="R25" s="3"/>
      <c r="S25" s="3"/>
    </row>
    <row r="26" spans="1:19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5" thickBot="1" x14ac:dyDescent="0.4">
      <c r="A28" s="3"/>
      <c r="B28" s="3"/>
      <c r="C28" s="3" t="s">
        <v>63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35">
      <c r="A29" s="3"/>
      <c r="B29" s="3"/>
      <c r="C29" s="3" t="s">
        <v>64</v>
      </c>
      <c r="D29" s="32" t="s">
        <v>65</v>
      </c>
      <c r="E29" s="33">
        <f>E20*2/D6</f>
        <v>418.75</v>
      </c>
      <c r="F29" s="34">
        <f>F20*2/D6</f>
        <v>1151.5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35">
      <c r="A30" s="3"/>
      <c r="B30" s="3"/>
      <c r="C30" s="3" t="s">
        <v>66</v>
      </c>
      <c r="D30" s="3">
        <f>(F29-E29)/E23</f>
        <v>183.1875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35">
      <c r="A34" s="3"/>
      <c r="B34" s="3"/>
      <c r="C34" s="3"/>
      <c r="D34" s="3"/>
      <c r="E34" s="3"/>
      <c r="F34" s="3"/>
      <c r="G34" s="3"/>
      <c r="H34" s="3"/>
      <c r="I34" s="3" t="s">
        <v>67</v>
      </c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</sheetData>
  <mergeCells count="1">
    <mergeCell ref="B2:E2"/>
  </mergeCells>
  <pageMargins left="0.7" right="0.7" top="0.78740157499999996" bottom="0.78740157499999996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A18A-2695-43D3-AE95-4DB380771D3C}">
  <sheetPr filterMode="1"/>
  <dimension ref="A1:H101"/>
  <sheetViews>
    <sheetView workbookViewId="0">
      <pane ySplit="1" topLeftCell="A45" activePane="bottomLeft" state="frozen"/>
      <selection pane="bottomLeft" activeCell="G45" sqref="G45"/>
    </sheetView>
  </sheetViews>
  <sheetFormatPr baseColWidth="10" defaultRowHeight="14.5" x14ac:dyDescent="0.35"/>
  <cols>
    <col min="1" max="1" width="18.54296875" bestFit="1" customWidth="1"/>
    <col min="2" max="2" width="13.36328125" bestFit="1" customWidth="1"/>
    <col min="3" max="3" width="23.1796875" bestFit="1" customWidth="1"/>
    <col min="4" max="4" width="22.36328125" bestFit="1" customWidth="1"/>
    <col min="5" max="5" width="58.7265625" style="39" bestFit="1" customWidth="1"/>
    <col min="6" max="6" width="23.54296875" bestFit="1" customWidth="1"/>
    <col min="7" max="7" width="37.453125" style="40" bestFit="1" customWidth="1"/>
    <col min="8" max="8" width="21.81640625" bestFit="1" customWidth="1"/>
  </cols>
  <sheetData>
    <row r="1" spans="1:8" x14ac:dyDescent="0.35">
      <c r="A1" t="s">
        <v>77</v>
      </c>
      <c r="B1" t="s">
        <v>78</v>
      </c>
      <c r="C1" t="s">
        <v>79</v>
      </c>
      <c r="D1" t="s">
        <v>80</v>
      </c>
      <c r="E1" s="39" t="s">
        <v>81</v>
      </c>
      <c r="F1" t="s">
        <v>82</v>
      </c>
      <c r="G1" s="40" t="s">
        <v>83</v>
      </c>
      <c r="H1" t="s">
        <v>84</v>
      </c>
    </row>
    <row r="2" spans="1:8" hidden="1" x14ac:dyDescent="0.35">
      <c r="A2" t="s">
        <v>85</v>
      </c>
      <c r="B2" t="s">
        <v>86</v>
      </c>
      <c r="E2" s="39" t="s">
        <v>87</v>
      </c>
      <c r="F2" t="s">
        <v>88</v>
      </c>
      <c r="G2" s="40" t="s">
        <v>88</v>
      </c>
      <c r="H2" t="s">
        <v>89</v>
      </c>
    </row>
    <row r="3" spans="1:8" hidden="1" x14ac:dyDescent="0.35">
      <c r="A3" t="s">
        <v>85</v>
      </c>
      <c r="B3" t="s">
        <v>86</v>
      </c>
      <c r="C3" t="s">
        <v>90</v>
      </c>
      <c r="E3" s="39" t="s">
        <v>91</v>
      </c>
      <c r="F3">
        <v>1</v>
      </c>
      <c r="G3" s="40">
        <v>1</v>
      </c>
    </row>
    <row r="4" spans="1:8" hidden="1" x14ac:dyDescent="0.35">
      <c r="A4" t="s">
        <v>85</v>
      </c>
      <c r="B4" t="s">
        <v>86</v>
      </c>
      <c r="C4" t="s">
        <v>90</v>
      </c>
      <c r="E4" s="39" t="s">
        <v>92</v>
      </c>
      <c r="F4">
        <v>20000</v>
      </c>
      <c r="G4" s="40">
        <v>20000</v>
      </c>
      <c r="H4" t="s">
        <v>93</v>
      </c>
    </row>
    <row r="5" spans="1:8" hidden="1" x14ac:dyDescent="0.35">
      <c r="A5" t="s">
        <v>85</v>
      </c>
      <c r="B5" t="s">
        <v>86</v>
      </c>
      <c r="C5" t="s">
        <v>90</v>
      </c>
      <c r="E5" s="39" t="s">
        <v>94</v>
      </c>
      <c r="F5">
        <v>5</v>
      </c>
      <c r="G5" s="40">
        <v>5</v>
      </c>
    </row>
    <row r="6" spans="1:8" hidden="1" x14ac:dyDescent="0.35">
      <c r="A6" t="s">
        <v>85</v>
      </c>
      <c r="B6" t="s">
        <v>86</v>
      </c>
      <c r="C6" t="s">
        <v>95</v>
      </c>
      <c r="D6" t="s">
        <v>96</v>
      </c>
      <c r="E6" s="39" t="s">
        <v>97</v>
      </c>
      <c r="F6" t="s">
        <v>98</v>
      </c>
      <c r="G6" s="40" t="s">
        <v>98</v>
      </c>
    </row>
    <row r="7" spans="1:8" hidden="1" x14ac:dyDescent="0.35">
      <c r="A7" t="s">
        <v>85</v>
      </c>
      <c r="B7" t="s">
        <v>86</v>
      </c>
      <c r="C7" t="s">
        <v>95</v>
      </c>
      <c r="D7" t="s">
        <v>96</v>
      </c>
      <c r="E7" s="39" t="s">
        <v>99</v>
      </c>
      <c r="F7" t="s">
        <v>100</v>
      </c>
      <c r="G7" s="40" t="s">
        <v>100</v>
      </c>
    </row>
    <row r="8" spans="1:8" hidden="1" x14ac:dyDescent="0.35">
      <c r="A8" t="s">
        <v>85</v>
      </c>
      <c r="B8" t="s">
        <v>86</v>
      </c>
      <c r="C8" t="s">
        <v>95</v>
      </c>
      <c r="D8" t="s">
        <v>96</v>
      </c>
      <c r="E8" s="39" t="s">
        <v>101</v>
      </c>
      <c r="F8" t="s">
        <v>102</v>
      </c>
      <c r="G8" s="40" t="s">
        <v>102</v>
      </c>
    </row>
    <row r="9" spans="1:8" hidden="1" x14ac:dyDescent="0.35">
      <c r="A9" t="s">
        <v>85</v>
      </c>
      <c r="B9" t="s">
        <v>86</v>
      </c>
      <c r="C9" t="s">
        <v>95</v>
      </c>
      <c r="D9" t="s">
        <v>96</v>
      </c>
      <c r="E9" s="39" t="s">
        <v>103</v>
      </c>
      <c r="F9" t="s">
        <v>104</v>
      </c>
      <c r="G9" s="40" t="s">
        <v>104</v>
      </c>
      <c r="H9" t="s">
        <v>105</v>
      </c>
    </row>
    <row r="10" spans="1:8" hidden="1" x14ac:dyDescent="0.35">
      <c r="A10" t="s">
        <v>85</v>
      </c>
      <c r="B10" t="s">
        <v>86</v>
      </c>
      <c r="C10" t="s">
        <v>95</v>
      </c>
      <c r="D10" t="s">
        <v>96</v>
      </c>
      <c r="E10" s="39" t="s">
        <v>106</v>
      </c>
      <c r="F10" t="s">
        <v>107</v>
      </c>
      <c r="G10" s="40" t="s">
        <v>107</v>
      </c>
      <c r="H10" t="s">
        <v>108</v>
      </c>
    </row>
    <row r="11" spans="1:8" hidden="1" x14ac:dyDescent="0.35">
      <c r="A11" t="s">
        <v>85</v>
      </c>
      <c r="B11" t="s">
        <v>86</v>
      </c>
      <c r="C11" t="s">
        <v>95</v>
      </c>
      <c r="D11" t="s">
        <v>96</v>
      </c>
      <c r="E11" s="39" t="s">
        <v>109</v>
      </c>
      <c r="F11">
        <v>1</v>
      </c>
      <c r="G11" s="40">
        <v>1</v>
      </c>
    </row>
    <row r="12" spans="1:8" hidden="1" x14ac:dyDescent="0.35">
      <c r="A12" t="s">
        <v>85</v>
      </c>
      <c r="B12" t="s">
        <v>86</v>
      </c>
      <c r="C12" t="s">
        <v>95</v>
      </c>
      <c r="D12" t="s">
        <v>110</v>
      </c>
      <c r="E12" s="39" t="s">
        <v>111</v>
      </c>
      <c r="F12" s="35" t="s">
        <v>112</v>
      </c>
      <c r="G12" s="41" t="s">
        <v>112</v>
      </c>
      <c r="H12" t="s">
        <v>89</v>
      </c>
    </row>
    <row r="13" spans="1:8" hidden="1" x14ac:dyDescent="0.35">
      <c r="A13" t="s">
        <v>85</v>
      </c>
      <c r="B13" t="s">
        <v>86</v>
      </c>
      <c r="C13" t="s">
        <v>95</v>
      </c>
      <c r="D13" t="s">
        <v>110</v>
      </c>
      <c r="E13" s="39" t="s">
        <v>113</v>
      </c>
      <c r="F13" t="s">
        <v>114</v>
      </c>
      <c r="G13" s="40" t="s">
        <v>114</v>
      </c>
    </row>
    <row r="14" spans="1:8" hidden="1" x14ac:dyDescent="0.35">
      <c r="A14" t="s">
        <v>85</v>
      </c>
      <c r="B14" t="s">
        <v>86</v>
      </c>
      <c r="C14" t="s">
        <v>115</v>
      </c>
      <c r="E14" s="39" t="s">
        <v>116</v>
      </c>
      <c r="F14" s="36">
        <v>1.00000009157596E+16</v>
      </c>
      <c r="G14" s="42">
        <v>1.00000009157596E+16</v>
      </c>
      <c r="H14" t="s">
        <v>117</v>
      </c>
    </row>
    <row r="15" spans="1:8" hidden="1" x14ac:dyDescent="0.35">
      <c r="A15" t="s">
        <v>85</v>
      </c>
      <c r="B15" t="s">
        <v>86</v>
      </c>
      <c r="C15" t="s">
        <v>115</v>
      </c>
      <c r="E15" s="39" t="s">
        <v>118</v>
      </c>
      <c r="F15">
        <v>54</v>
      </c>
      <c r="G15" s="40">
        <v>54</v>
      </c>
      <c r="H15" t="s">
        <v>119</v>
      </c>
    </row>
    <row r="16" spans="1:8" hidden="1" x14ac:dyDescent="0.35">
      <c r="A16" t="s">
        <v>85</v>
      </c>
      <c r="B16" t="s">
        <v>86</v>
      </c>
      <c r="C16" t="s">
        <v>115</v>
      </c>
      <c r="E16" s="39" t="s">
        <v>120</v>
      </c>
      <c r="F16" s="36">
        <v>1000000018720610</v>
      </c>
      <c r="G16" s="42">
        <v>1000000018720610</v>
      </c>
      <c r="H16" t="s">
        <v>117</v>
      </c>
    </row>
    <row r="17" spans="1:8" hidden="1" x14ac:dyDescent="0.35">
      <c r="A17" t="s">
        <v>85</v>
      </c>
      <c r="B17" t="s">
        <v>86</v>
      </c>
      <c r="C17" t="s">
        <v>115</v>
      </c>
      <c r="E17" s="39" t="s">
        <v>121</v>
      </c>
      <c r="F17" s="36">
        <v>1.80000005008956E+16</v>
      </c>
      <c r="G17" s="42">
        <v>1.80000005008956E+16</v>
      </c>
      <c r="H17" t="s">
        <v>122</v>
      </c>
    </row>
    <row r="18" spans="1:8" hidden="1" x14ac:dyDescent="0.35">
      <c r="A18" t="s">
        <v>85</v>
      </c>
      <c r="B18" t="s">
        <v>86</v>
      </c>
      <c r="C18" t="s">
        <v>123</v>
      </c>
      <c r="E18" s="39" t="s">
        <v>124</v>
      </c>
      <c r="F18" s="36">
        <v>1.19999992847442E+16</v>
      </c>
      <c r="G18" s="42">
        <v>1.19999992847442E+16</v>
      </c>
      <c r="H18" t="s">
        <v>125</v>
      </c>
    </row>
    <row r="19" spans="1:8" hidden="1" x14ac:dyDescent="0.35">
      <c r="A19" t="s">
        <v>85</v>
      </c>
      <c r="B19" t="s">
        <v>86</v>
      </c>
      <c r="C19" t="s">
        <v>123</v>
      </c>
      <c r="E19" s="39" t="s">
        <v>126</v>
      </c>
      <c r="F19" t="s">
        <v>127</v>
      </c>
      <c r="G19" s="40" t="s">
        <v>127</v>
      </c>
      <c r="H19" t="s">
        <v>89</v>
      </c>
    </row>
    <row r="20" spans="1:8" hidden="1" x14ac:dyDescent="0.35">
      <c r="A20" t="s">
        <v>85</v>
      </c>
      <c r="B20" t="s">
        <v>86</v>
      </c>
      <c r="C20" t="s">
        <v>123</v>
      </c>
      <c r="E20" s="39" t="s">
        <v>128</v>
      </c>
      <c r="F20">
        <v>90</v>
      </c>
      <c r="G20" s="40">
        <v>90</v>
      </c>
      <c r="H20" t="s">
        <v>129</v>
      </c>
    </row>
    <row r="21" spans="1:8" hidden="1" x14ac:dyDescent="0.35">
      <c r="A21" t="s">
        <v>85</v>
      </c>
      <c r="B21" t="s">
        <v>86</v>
      </c>
      <c r="C21" t="s">
        <v>123</v>
      </c>
      <c r="E21" s="39" t="s">
        <v>130</v>
      </c>
      <c r="F21" t="s">
        <v>131</v>
      </c>
      <c r="G21" s="40" t="s">
        <v>131</v>
      </c>
    </row>
    <row r="22" spans="1:8" hidden="1" x14ac:dyDescent="0.35">
      <c r="A22" t="s">
        <v>85</v>
      </c>
      <c r="B22" t="s">
        <v>86</v>
      </c>
      <c r="C22" t="s">
        <v>123</v>
      </c>
      <c r="E22" s="39" t="s">
        <v>132</v>
      </c>
      <c r="F22">
        <v>10</v>
      </c>
      <c r="G22" s="40">
        <v>10</v>
      </c>
    </row>
    <row r="23" spans="1:8" hidden="1" x14ac:dyDescent="0.35">
      <c r="A23" t="s">
        <v>85</v>
      </c>
      <c r="B23" t="s">
        <v>86</v>
      </c>
      <c r="C23" t="s">
        <v>123</v>
      </c>
      <c r="E23" s="39" t="s">
        <v>133</v>
      </c>
      <c r="F23" s="36">
        <v>1.67999992370605E+16</v>
      </c>
      <c r="G23" s="42">
        <v>1.67999992370605E+16</v>
      </c>
      <c r="H23" t="s">
        <v>44</v>
      </c>
    </row>
    <row r="24" spans="1:8" hidden="1" x14ac:dyDescent="0.35">
      <c r="A24" t="s">
        <v>85</v>
      </c>
      <c r="B24" t="s">
        <v>86</v>
      </c>
      <c r="C24" t="s">
        <v>123</v>
      </c>
      <c r="E24" s="39" t="s">
        <v>134</v>
      </c>
      <c r="F24" s="36">
        <v>3119999885559080</v>
      </c>
      <c r="G24" s="42">
        <v>3119999885559080</v>
      </c>
      <c r="H24" t="s">
        <v>44</v>
      </c>
    </row>
    <row r="25" spans="1:8" hidden="1" x14ac:dyDescent="0.35">
      <c r="A25" t="s">
        <v>85</v>
      </c>
      <c r="B25" t="s">
        <v>86</v>
      </c>
      <c r="C25" t="s">
        <v>123</v>
      </c>
      <c r="E25" s="39" t="s">
        <v>135</v>
      </c>
      <c r="F25" s="36">
        <v>1.2000001390333E+16</v>
      </c>
      <c r="G25" s="42">
        <v>1.2000001390333E+16</v>
      </c>
      <c r="H25" t="s">
        <v>4</v>
      </c>
    </row>
    <row r="26" spans="1:8" hidden="1" x14ac:dyDescent="0.35">
      <c r="A26" t="s">
        <v>85</v>
      </c>
      <c r="B26" t="s">
        <v>86</v>
      </c>
      <c r="C26" t="s">
        <v>136</v>
      </c>
      <c r="E26" s="39" t="s">
        <v>137</v>
      </c>
      <c r="F26" t="s">
        <v>138</v>
      </c>
      <c r="G26" s="40" t="s">
        <v>138</v>
      </c>
    </row>
    <row r="27" spans="1:8" hidden="1" x14ac:dyDescent="0.35">
      <c r="A27" t="s">
        <v>85</v>
      </c>
      <c r="B27" t="s">
        <v>86</v>
      </c>
      <c r="C27" t="s">
        <v>136</v>
      </c>
      <c r="E27" s="39" t="s">
        <v>139</v>
      </c>
      <c r="F27" s="36">
        <v>4.00000036630386E+16</v>
      </c>
      <c r="G27" s="42">
        <v>4.00000036630386E+16</v>
      </c>
      <c r="H27" t="s">
        <v>4</v>
      </c>
    </row>
    <row r="28" spans="1:8" hidden="1" x14ac:dyDescent="0.35">
      <c r="A28" t="s">
        <v>85</v>
      </c>
      <c r="B28" t="s">
        <v>86</v>
      </c>
      <c r="C28" t="s">
        <v>136</v>
      </c>
      <c r="E28" s="39" t="s">
        <v>140</v>
      </c>
      <c r="F28" t="s">
        <v>141</v>
      </c>
      <c r="G28" s="40" t="s">
        <v>141</v>
      </c>
      <c r="H28" t="s">
        <v>142</v>
      </c>
    </row>
    <row r="29" spans="1:8" hidden="1" x14ac:dyDescent="0.35">
      <c r="A29" t="s">
        <v>85</v>
      </c>
      <c r="B29" t="s">
        <v>86</v>
      </c>
      <c r="C29" t="s">
        <v>143</v>
      </c>
      <c r="D29" t="s">
        <v>144</v>
      </c>
      <c r="E29" s="39" t="s">
        <v>145</v>
      </c>
      <c r="F29">
        <v>0</v>
      </c>
      <c r="G29" s="40">
        <v>0</v>
      </c>
      <c r="H29" t="s">
        <v>146</v>
      </c>
    </row>
    <row r="30" spans="1:8" hidden="1" x14ac:dyDescent="0.35">
      <c r="A30" t="s">
        <v>85</v>
      </c>
      <c r="B30" t="s">
        <v>86</v>
      </c>
      <c r="C30" t="s">
        <v>143</v>
      </c>
      <c r="D30" t="s">
        <v>144</v>
      </c>
      <c r="E30" s="39" t="s">
        <v>147</v>
      </c>
      <c r="F30" t="s">
        <v>148</v>
      </c>
      <c r="G30" s="40" t="s">
        <v>148</v>
      </c>
    </row>
    <row r="31" spans="1:8" hidden="1" x14ac:dyDescent="0.35">
      <c r="A31" t="s">
        <v>85</v>
      </c>
      <c r="B31" t="s">
        <v>86</v>
      </c>
      <c r="C31" t="s">
        <v>143</v>
      </c>
      <c r="D31" t="s">
        <v>149</v>
      </c>
      <c r="E31" s="39" t="s">
        <v>150</v>
      </c>
      <c r="F31">
        <v>16384</v>
      </c>
      <c r="G31" s="40">
        <v>16384</v>
      </c>
    </row>
    <row r="32" spans="1:8" hidden="1" x14ac:dyDescent="0.35">
      <c r="A32" t="s">
        <v>85</v>
      </c>
      <c r="B32" t="s">
        <v>86</v>
      </c>
      <c r="C32" t="s">
        <v>143</v>
      </c>
      <c r="D32" t="s">
        <v>149</v>
      </c>
      <c r="E32" s="39" t="s">
        <v>151</v>
      </c>
      <c r="F32" s="37">
        <v>46143</v>
      </c>
      <c r="G32" s="43">
        <v>46143</v>
      </c>
    </row>
    <row r="33" spans="1:8" hidden="1" x14ac:dyDescent="0.35">
      <c r="A33" t="s">
        <v>85</v>
      </c>
      <c r="B33" t="s">
        <v>86</v>
      </c>
      <c r="C33" t="s">
        <v>143</v>
      </c>
      <c r="D33" t="s">
        <v>149</v>
      </c>
      <c r="E33" s="39" t="s">
        <v>152</v>
      </c>
      <c r="F33" s="36">
        <v>3200000316721080</v>
      </c>
      <c r="G33" s="42">
        <v>3200000316721080</v>
      </c>
      <c r="H33" t="s">
        <v>4</v>
      </c>
    </row>
    <row r="34" spans="1:8" hidden="1" x14ac:dyDescent="0.35">
      <c r="A34" t="s">
        <v>85</v>
      </c>
      <c r="B34" t="s">
        <v>153</v>
      </c>
      <c r="E34" s="39" t="s">
        <v>154</v>
      </c>
      <c r="F34" s="36">
        <v>8000000586897030</v>
      </c>
      <c r="G34" s="42">
        <v>3.99999992917176E+16</v>
      </c>
      <c r="H34" t="s">
        <v>4</v>
      </c>
    </row>
    <row r="35" spans="1:8" hidden="1" x14ac:dyDescent="0.35">
      <c r="A35" t="s">
        <v>85</v>
      </c>
      <c r="B35" t="s">
        <v>153</v>
      </c>
      <c r="E35" s="39" t="s">
        <v>155</v>
      </c>
      <c r="F35" t="s">
        <v>114</v>
      </c>
      <c r="G35" s="40">
        <v>1</v>
      </c>
      <c r="H35" t="s">
        <v>89</v>
      </c>
    </row>
    <row r="36" spans="1:8" hidden="1" x14ac:dyDescent="0.35">
      <c r="A36" t="s">
        <v>85</v>
      </c>
      <c r="B36" t="s">
        <v>156</v>
      </c>
      <c r="E36" s="39" t="s">
        <v>157</v>
      </c>
      <c r="F36" s="36">
        <v>1000000027827530</v>
      </c>
      <c r="G36" s="42">
        <v>1000000027827530</v>
      </c>
      <c r="H36" t="s">
        <v>93</v>
      </c>
    </row>
    <row r="37" spans="1:8" hidden="1" x14ac:dyDescent="0.35">
      <c r="A37" t="s">
        <v>85</v>
      </c>
      <c r="B37" t="s">
        <v>156</v>
      </c>
      <c r="C37" t="s">
        <v>158</v>
      </c>
      <c r="E37" s="39" t="s">
        <v>159</v>
      </c>
      <c r="F37" t="s">
        <v>160</v>
      </c>
      <c r="G37" s="40" t="s">
        <v>160</v>
      </c>
    </row>
    <row r="38" spans="1:8" hidden="1" x14ac:dyDescent="0.35">
      <c r="A38" t="s">
        <v>85</v>
      </c>
      <c r="B38" t="s">
        <v>161</v>
      </c>
      <c r="E38" s="39" t="s">
        <v>162</v>
      </c>
      <c r="F38" t="s">
        <v>163</v>
      </c>
      <c r="G38" s="40" t="s">
        <v>164</v>
      </c>
    </row>
    <row r="39" spans="1:8" hidden="1" x14ac:dyDescent="0.35">
      <c r="A39" t="s">
        <v>85</v>
      </c>
      <c r="B39" t="s">
        <v>161</v>
      </c>
      <c r="C39" t="s">
        <v>165</v>
      </c>
      <c r="E39" s="39" t="s">
        <v>166</v>
      </c>
      <c r="F39" s="36">
        <v>9999999822929400</v>
      </c>
      <c r="G39" s="42">
        <v>9999999822929400</v>
      </c>
      <c r="H39" t="s">
        <v>93</v>
      </c>
    </row>
    <row r="40" spans="1:8" hidden="1" x14ac:dyDescent="0.35">
      <c r="A40" t="s">
        <v>85</v>
      </c>
      <c r="B40" t="s">
        <v>161</v>
      </c>
      <c r="C40" t="s">
        <v>165</v>
      </c>
      <c r="E40" s="39" t="s">
        <v>167</v>
      </c>
      <c r="F40">
        <v>100</v>
      </c>
      <c r="G40" s="40">
        <v>100</v>
      </c>
      <c r="H40" t="s">
        <v>125</v>
      </c>
    </row>
    <row r="41" spans="1:8" hidden="1" x14ac:dyDescent="0.35">
      <c r="A41" t="s">
        <v>85</v>
      </c>
      <c r="B41" t="s">
        <v>161</v>
      </c>
      <c r="C41" t="s">
        <v>165</v>
      </c>
      <c r="E41" s="39" t="s">
        <v>168</v>
      </c>
      <c r="F41" t="s">
        <v>169</v>
      </c>
      <c r="G41" s="40" t="s">
        <v>170</v>
      </c>
      <c r="H41" t="s">
        <v>171</v>
      </c>
    </row>
    <row r="42" spans="1:8" hidden="1" x14ac:dyDescent="0.35">
      <c r="A42" t="s">
        <v>85</v>
      </c>
      <c r="B42" t="s">
        <v>161</v>
      </c>
      <c r="C42" t="s">
        <v>165</v>
      </c>
      <c r="E42" s="39" t="s">
        <v>172</v>
      </c>
      <c r="F42" t="s">
        <v>173</v>
      </c>
      <c r="G42" s="40" t="s">
        <v>174</v>
      </c>
      <c r="H42" t="s">
        <v>175</v>
      </c>
    </row>
    <row r="43" spans="1:8" hidden="1" x14ac:dyDescent="0.35">
      <c r="A43" t="s">
        <v>85</v>
      </c>
      <c r="B43" t="s">
        <v>161</v>
      </c>
      <c r="C43" t="s">
        <v>165</v>
      </c>
      <c r="E43" s="39" t="s">
        <v>176</v>
      </c>
      <c r="F43">
        <v>10</v>
      </c>
      <c r="G43" s="40">
        <v>10</v>
      </c>
    </row>
    <row r="44" spans="1:8" hidden="1" x14ac:dyDescent="0.35">
      <c r="A44" t="s">
        <v>85</v>
      </c>
      <c r="B44" t="s">
        <v>161</v>
      </c>
      <c r="C44" t="s">
        <v>165</v>
      </c>
      <c r="E44" s="39" t="s">
        <v>177</v>
      </c>
      <c r="F44">
        <v>100</v>
      </c>
      <c r="G44" s="40">
        <v>100</v>
      </c>
      <c r="H44" t="s">
        <v>125</v>
      </c>
    </row>
    <row r="45" spans="1:8" x14ac:dyDescent="0.35">
      <c r="A45" t="s">
        <v>85</v>
      </c>
      <c r="B45" t="s">
        <v>161</v>
      </c>
      <c r="C45" t="s">
        <v>178</v>
      </c>
      <c r="E45" s="39" t="s">
        <v>179</v>
      </c>
      <c r="F45" s="36">
        <v>2.00000007629741E+16</v>
      </c>
      <c r="G45" s="42">
        <v>1.0000000381487E+16</v>
      </c>
      <c r="H45" t="s">
        <v>93</v>
      </c>
    </row>
    <row r="46" spans="1:8" x14ac:dyDescent="0.35">
      <c r="A46" t="s">
        <v>85</v>
      </c>
      <c r="B46" t="s">
        <v>161</v>
      </c>
      <c r="C46" t="s">
        <v>178</v>
      </c>
      <c r="E46" s="39" t="s">
        <v>180</v>
      </c>
      <c r="F46">
        <v>100</v>
      </c>
      <c r="G46" s="40">
        <v>50</v>
      </c>
      <c r="H46" t="s">
        <v>125</v>
      </c>
    </row>
    <row r="47" spans="1:8" x14ac:dyDescent="0.35">
      <c r="A47" t="s">
        <v>85</v>
      </c>
      <c r="B47" t="s">
        <v>161</v>
      </c>
      <c r="C47" t="s">
        <v>178</v>
      </c>
      <c r="E47" s="39" t="s">
        <v>181</v>
      </c>
      <c r="F47" t="s">
        <v>182</v>
      </c>
      <c r="G47" s="40" t="s">
        <v>182</v>
      </c>
      <c r="H47" t="s">
        <v>142</v>
      </c>
    </row>
    <row r="48" spans="1:8" x14ac:dyDescent="0.35">
      <c r="A48" t="s">
        <v>85</v>
      </c>
      <c r="B48" t="s">
        <v>161</v>
      </c>
      <c r="C48" t="s">
        <v>178</v>
      </c>
      <c r="E48" s="39" t="s">
        <v>183</v>
      </c>
      <c r="F48" s="36">
        <v>1319468879699700</v>
      </c>
      <c r="G48" s="42">
        <v>3.16000008583068E+16</v>
      </c>
      <c r="H48" t="s">
        <v>108</v>
      </c>
    </row>
    <row r="49" spans="1:8" x14ac:dyDescent="0.35">
      <c r="A49" t="s">
        <v>85</v>
      </c>
      <c r="B49" t="s">
        <v>161</v>
      </c>
      <c r="C49" t="s">
        <v>178</v>
      </c>
      <c r="E49" s="39" t="s">
        <v>184</v>
      </c>
      <c r="F49" s="36">
        <v>1319468879699700</v>
      </c>
      <c r="G49" s="42">
        <v>3.16000008583068E+16</v>
      </c>
      <c r="H49" t="s">
        <v>108</v>
      </c>
    </row>
    <row r="50" spans="1:8" x14ac:dyDescent="0.35">
      <c r="A50" t="s">
        <v>85</v>
      </c>
      <c r="B50" t="s">
        <v>161</v>
      </c>
      <c r="C50" t="s">
        <v>178</v>
      </c>
      <c r="E50" s="39" t="s">
        <v>185</v>
      </c>
      <c r="F50" s="36">
        <v>94247783203125</v>
      </c>
      <c r="G50" s="42">
        <v>282808013</v>
      </c>
      <c r="H50" t="s">
        <v>186</v>
      </c>
    </row>
    <row r="51" spans="1:8" x14ac:dyDescent="0.35">
      <c r="A51" t="s">
        <v>85</v>
      </c>
      <c r="B51" t="s">
        <v>161</v>
      </c>
      <c r="C51" t="s">
        <v>178</v>
      </c>
      <c r="E51" s="39" t="s">
        <v>187</v>
      </c>
      <c r="F51" s="36">
        <v>94247783203125</v>
      </c>
      <c r="G51" s="42">
        <v>282808013</v>
      </c>
      <c r="H51" t="s">
        <v>186</v>
      </c>
    </row>
    <row r="52" spans="1:8" x14ac:dyDescent="0.35">
      <c r="A52" t="s">
        <v>85</v>
      </c>
      <c r="B52" t="s">
        <v>161</v>
      </c>
      <c r="C52" t="s">
        <v>178</v>
      </c>
      <c r="E52" s="39" t="s">
        <v>188</v>
      </c>
      <c r="F52" t="s">
        <v>189</v>
      </c>
      <c r="G52" s="40" t="s">
        <v>190</v>
      </c>
      <c r="H52" t="s">
        <v>142</v>
      </c>
    </row>
    <row r="53" spans="1:8" hidden="1" x14ac:dyDescent="0.35">
      <c r="A53" t="s">
        <v>85</v>
      </c>
      <c r="B53" t="s">
        <v>161</v>
      </c>
      <c r="C53" t="s">
        <v>191</v>
      </c>
      <c r="E53" s="39" t="s">
        <v>192</v>
      </c>
      <c r="F53" s="36">
        <v>2.00000014672425E+16</v>
      </c>
      <c r="G53" s="42">
        <v>2.00000014672425E+16</v>
      </c>
      <c r="H53" t="s">
        <v>4</v>
      </c>
    </row>
    <row r="54" spans="1:8" hidden="1" x14ac:dyDescent="0.35">
      <c r="A54" t="s">
        <v>85</v>
      </c>
      <c r="B54" t="s">
        <v>161</v>
      </c>
      <c r="C54" t="s">
        <v>191</v>
      </c>
      <c r="E54" s="39" t="s">
        <v>193</v>
      </c>
      <c r="F54" t="s">
        <v>194</v>
      </c>
      <c r="G54" s="40" t="s">
        <v>194</v>
      </c>
      <c r="H54" t="s">
        <v>44</v>
      </c>
    </row>
    <row r="55" spans="1:8" hidden="1" x14ac:dyDescent="0.35">
      <c r="A55" t="s">
        <v>85</v>
      </c>
      <c r="B55" t="s">
        <v>161</v>
      </c>
      <c r="C55" t="s">
        <v>191</v>
      </c>
      <c r="E55" s="39" t="s">
        <v>195</v>
      </c>
      <c r="F55" t="s">
        <v>196</v>
      </c>
      <c r="G55" s="40" t="s">
        <v>196</v>
      </c>
      <c r="H55" t="s">
        <v>197</v>
      </c>
    </row>
    <row r="56" spans="1:8" hidden="1" x14ac:dyDescent="0.35">
      <c r="A56" t="s">
        <v>85</v>
      </c>
      <c r="B56" t="s">
        <v>161</v>
      </c>
      <c r="C56" t="s">
        <v>191</v>
      </c>
      <c r="E56" s="39" t="s">
        <v>198</v>
      </c>
      <c r="F56" t="s">
        <v>199</v>
      </c>
      <c r="G56" s="40" t="s">
        <v>199</v>
      </c>
    </row>
    <row r="57" spans="1:8" hidden="1" x14ac:dyDescent="0.35">
      <c r="A57" t="s">
        <v>85</v>
      </c>
      <c r="B57" t="s">
        <v>161</v>
      </c>
      <c r="C57" t="s">
        <v>191</v>
      </c>
      <c r="D57" t="s">
        <v>200</v>
      </c>
      <c r="E57" s="39" t="s">
        <v>201</v>
      </c>
      <c r="F57" t="s">
        <v>148</v>
      </c>
      <c r="G57" s="40" t="s">
        <v>148</v>
      </c>
    </row>
    <row r="58" spans="1:8" hidden="1" x14ac:dyDescent="0.35">
      <c r="A58" t="s">
        <v>85</v>
      </c>
      <c r="B58" t="s">
        <v>161</v>
      </c>
      <c r="C58" t="s">
        <v>191</v>
      </c>
      <c r="D58" t="s">
        <v>200</v>
      </c>
      <c r="E58" s="39" t="s">
        <v>202</v>
      </c>
      <c r="F58" s="36">
        <v>9999999403953550</v>
      </c>
      <c r="G58" s="42">
        <v>9999999403953550</v>
      </c>
      <c r="H58" t="s">
        <v>125</v>
      </c>
    </row>
    <row r="59" spans="1:8" hidden="1" x14ac:dyDescent="0.35">
      <c r="A59" t="s">
        <v>85</v>
      </c>
      <c r="B59" t="s">
        <v>161</v>
      </c>
      <c r="C59" t="s">
        <v>191</v>
      </c>
      <c r="D59" t="s">
        <v>200</v>
      </c>
      <c r="E59" s="39" t="s">
        <v>203</v>
      </c>
      <c r="F59" s="36">
        <v>4999999701976770</v>
      </c>
      <c r="G59" s="42">
        <v>4999999701976770</v>
      </c>
      <c r="H59" t="s">
        <v>125</v>
      </c>
    </row>
    <row r="60" spans="1:8" hidden="1" x14ac:dyDescent="0.35">
      <c r="A60" t="s">
        <v>85</v>
      </c>
      <c r="B60" t="s">
        <v>161</v>
      </c>
      <c r="C60" t="s">
        <v>204</v>
      </c>
      <c r="E60" s="39" t="s">
        <v>205</v>
      </c>
      <c r="F60" t="s">
        <v>160</v>
      </c>
      <c r="G60" s="40" t="s">
        <v>160</v>
      </c>
    </row>
    <row r="61" spans="1:8" hidden="1" x14ac:dyDescent="0.35">
      <c r="A61" t="s">
        <v>85</v>
      </c>
      <c r="B61" t="s">
        <v>161</v>
      </c>
      <c r="C61" t="s">
        <v>204</v>
      </c>
      <c r="E61" s="39" t="s">
        <v>206</v>
      </c>
      <c r="F61" t="s">
        <v>207</v>
      </c>
      <c r="G61" s="40" t="s">
        <v>207</v>
      </c>
    </row>
    <row r="62" spans="1:8" hidden="1" x14ac:dyDescent="0.35">
      <c r="A62" t="s">
        <v>85</v>
      </c>
      <c r="B62" t="s">
        <v>161</v>
      </c>
      <c r="C62" t="s">
        <v>204</v>
      </c>
      <c r="E62" s="39" t="s">
        <v>208</v>
      </c>
      <c r="F62" s="36">
        <v>3000000007591610</v>
      </c>
      <c r="G62" s="42">
        <v>3000000007591610</v>
      </c>
      <c r="H62" t="s">
        <v>93</v>
      </c>
    </row>
    <row r="63" spans="1:8" hidden="1" x14ac:dyDescent="0.35">
      <c r="A63" t="s">
        <v>85</v>
      </c>
      <c r="B63" t="s">
        <v>161</v>
      </c>
      <c r="C63" t="s">
        <v>204</v>
      </c>
      <c r="E63" s="39" t="s">
        <v>209</v>
      </c>
      <c r="F63" t="s">
        <v>210</v>
      </c>
      <c r="G63" s="40" t="s">
        <v>210</v>
      </c>
      <c r="H63" t="s">
        <v>211</v>
      </c>
    </row>
    <row r="64" spans="1:8" hidden="1" x14ac:dyDescent="0.35">
      <c r="A64" t="s">
        <v>85</v>
      </c>
      <c r="B64" t="s">
        <v>161</v>
      </c>
      <c r="C64" t="s">
        <v>212</v>
      </c>
      <c r="E64" s="39" t="s">
        <v>213</v>
      </c>
      <c r="F64">
        <v>1</v>
      </c>
      <c r="G64" s="40">
        <v>1</v>
      </c>
      <c r="H64" t="s">
        <v>89</v>
      </c>
    </row>
    <row r="65" spans="1:8" hidden="1" x14ac:dyDescent="0.35">
      <c r="A65" t="s">
        <v>85</v>
      </c>
      <c r="B65" t="s">
        <v>161</v>
      </c>
      <c r="C65" t="s">
        <v>212</v>
      </c>
      <c r="E65" s="39" t="s">
        <v>214</v>
      </c>
      <c r="F65" t="s">
        <v>215</v>
      </c>
      <c r="G65" s="40" t="s">
        <v>215</v>
      </c>
      <c r="H65" t="s">
        <v>44</v>
      </c>
    </row>
    <row r="66" spans="1:8" hidden="1" x14ac:dyDescent="0.35">
      <c r="A66" t="s">
        <v>85</v>
      </c>
      <c r="B66" t="s">
        <v>161</v>
      </c>
      <c r="C66" t="s">
        <v>216</v>
      </c>
      <c r="E66" s="39" t="s">
        <v>217</v>
      </c>
      <c r="F66" s="37">
        <v>46145</v>
      </c>
      <c r="G66" s="43">
        <v>46145</v>
      </c>
      <c r="H66" t="s">
        <v>142</v>
      </c>
    </row>
    <row r="67" spans="1:8" hidden="1" x14ac:dyDescent="0.35">
      <c r="A67" t="s">
        <v>85</v>
      </c>
      <c r="B67" t="s">
        <v>161</v>
      </c>
      <c r="C67" t="s">
        <v>218</v>
      </c>
      <c r="E67" s="39" t="s">
        <v>219</v>
      </c>
      <c r="F67">
        <v>0</v>
      </c>
      <c r="G67" s="40">
        <v>0</v>
      </c>
    </row>
    <row r="68" spans="1:8" hidden="1" x14ac:dyDescent="0.35">
      <c r="A68" t="s">
        <v>85</v>
      </c>
      <c r="B68" t="s">
        <v>161</v>
      </c>
      <c r="C68" t="s">
        <v>218</v>
      </c>
      <c r="E68" s="39" t="s">
        <v>220</v>
      </c>
      <c r="F68">
        <v>150</v>
      </c>
      <c r="G68" s="40">
        <v>150</v>
      </c>
      <c r="H68" t="s">
        <v>93</v>
      </c>
    </row>
    <row r="69" spans="1:8" hidden="1" x14ac:dyDescent="0.35">
      <c r="A69" t="s">
        <v>85</v>
      </c>
      <c r="B69" t="s">
        <v>161</v>
      </c>
      <c r="C69" t="s">
        <v>218</v>
      </c>
      <c r="E69" s="39" t="s">
        <v>221</v>
      </c>
      <c r="F69" s="38">
        <v>27395</v>
      </c>
      <c r="G69" s="44">
        <v>27395</v>
      </c>
      <c r="H69" t="s">
        <v>142</v>
      </c>
    </row>
    <row r="70" spans="1:8" hidden="1" x14ac:dyDescent="0.35">
      <c r="A70" t="s">
        <v>85</v>
      </c>
      <c r="B70" t="s">
        <v>161</v>
      </c>
      <c r="C70" t="s">
        <v>222</v>
      </c>
      <c r="E70" s="39" t="s">
        <v>223</v>
      </c>
      <c r="F70">
        <v>0</v>
      </c>
      <c r="G70" s="40">
        <v>0</v>
      </c>
      <c r="H70" t="s">
        <v>93</v>
      </c>
    </row>
    <row r="71" spans="1:8" hidden="1" x14ac:dyDescent="0.35">
      <c r="A71" t="s">
        <v>85</v>
      </c>
      <c r="B71" t="s">
        <v>161</v>
      </c>
      <c r="C71" t="s">
        <v>222</v>
      </c>
      <c r="E71" s="39" t="s">
        <v>224</v>
      </c>
      <c r="F71">
        <v>0</v>
      </c>
      <c r="G71" s="40">
        <v>0</v>
      </c>
    </row>
    <row r="72" spans="1:8" hidden="1" x14ac:dyDescent="0.35">
      <c r="A72" t="s">
        <v>85</v>
      </c>
      <c r="B72" t="s">
        <v>161</v>
      </c>
      <c r="C72" t="s">
        <v>222</v>
      </c>
      <c r="E72" s="39" t="s">
        <v>225</v>
      </c>
      <c r="F72">
        <v>0</v>
      </c>
      <c r="G72" s="40">
        <v>0</v>
      </c>
      <c r="H72" t="s">
        <v>125</v>
      </c>
    </row>
    <row r="73" spans="1:8" hidden="1" x14ac:dyDescent="0.35">
      <c r="A73" t="s">
        <v>85</v>
      </c>
      <c r="B73" t="s">
        <v>161</v>
      </c>
      <c r="C73" t="s">
        <v>222</v>
      </c>
      <c r="E73" s="39" t="s">
        <v>226</v>
      </c>
      <c r="F73">
        <v>0</v>
      </c>
      <c r="G73" s="40">
        <v>0</v>
      </c>
      <c r="H73" t="s">
        <v>4</v>
      </c>
    </row>
    <row r="74" spans="1:8" hidden="1" x14ac:dyDescent="0.35">
      <c r="A74" t="s">
        <v>85</v>
      </c>
      <c r="B74" t="s">
        <v>161</v>
      </c>
      <c r="C74" t="s">
        <v>222</v>
      </c>
      <c r="E74" s="39" t="s">
        <v>220</v>
      </c>
      <c r="F74" s="36">
        <v>1.50000007665115E+16</v>
      </c>
      <c r="G74" s="42">
        <v>1.50000007665115E+16</v>
      </c>
      <c r="H74" t="s">
        <v>93</v>
      </c>
    </row>
    <row r="75" spans="1:8" hidden="1" x14ac:dyDescent="0.35">
      <c r="A75" t="s">
        <v>85</v>
      </c>
      <c r="B75" t="s">
        <v>161</v>
      </c>
      <c r="C75" t="s">
        <v>222</v>
      </c>
      <c r="E75" s="39" t="s">
        <v>221</v>
      </c>
      <c r="F75" s="38">
        <v>27395</v>
      </c>
      <c r="G75" s="44">
        <v>27395</v>
      </c>
      <c r="H75" t="s">
        <v>142</v>
      </c>
    </row>
    <row r="76" spans="1:8" hidden="1" x14ac:dyDescent="0.35">
      <c r="A76" t="s">
        <v>227</v>
      </c>
      <c r="E76" s="39" t="s">
        <v>228</v>
      </c>
      <c r="F76">
        <v>24</v>
      </c>
      <c r="G76" s="40">
        <v>24</v>
      </c>
      <c r="H76" t="s">
        <v>44</v>
      </c>
    </row>
    <row r="77" spans="1:8" hidden="1" x14ac:dyDescent="0.35">
      <c r="A77" t="s">
        <v>229</v>
      </c>
      <c r="E77" s="39" t="s">
        <v>230</v>
      </c>
      <c r="F77">
        <v>8</v>
      </c>
      <c r="G77" s="40">
        <v>8</v>
      </c>
    </row>
    <row r="78" spans="1:8" hidden="1" x14ac:dyDescent="0.35">
      <c r="A78" t="s">
        <v>229</v>
      </c>
      <c r="E78" s="39" t="s">
        <v>231</v>
      </c>
      <c r="F78" t="s">
        <v>232</v>
      </c>
      <c r="G78" s="40" t="s">
        <v>232</v>
      </c>
      <c r="H78" t="s">
        <v>233</v>
      </c>
    </row>
    <row r="79" spans="1:8" hidden="1" x14ac:dyDescent="0.35">
      <c r="A79" t="s">
        <v>229</v>
      </c>
      <c r="E79" s="39" t="s">
        <v>234</v>
      </c>
      <c r="F79" t="s">
        <v>232</v>
      </c>
      <c r="G79" s="40" t="s">
        <v>232</v>
      </c>
      <c r="H79" t="s">
        <v>233</v>
      </c>
    </row>
    <row r="80" spans="1:8" hidden="1" x14ac:dyDescent="0.35">
      <c r="A80" t="s">
        <v>229</v>
      </c>
      <c r="E80" s="39" t="s">
        <v>235</v>
      </c>
      <c r="F80" t="s">
        <v>236</v>
      </c>
      <c r="G80" s="40" t="s">
        <v>236</v>
      </c>
      <c r="H80" t="s">
        <v>237</v>
      </c>
    </row>
    <row r="81" spans="1:8" hidden="1" x14ac:dyDescent="0.35">
      <c r="A81" t="s">
        <v>229</v>
      </c>
      <c r="E81" s="39" t="s">
        <v>238</v>
      </c>
      <c r="F81" t="s">
        <v>239</v>
      </c>
      <c r="G81" s="40" t="s">
        <v>239</v>
      </c>
      <c r="H81" t="s">
        <v>105</v>
      </c>
    </row>
    <row r="82" spans="1:8" hidden="1" x14ac:dyDescent="0.35">
      <c r="A82" t="s">
        <v>229</v>
      </c>
      <c r="E82" s="39" t="s">
        <v>240</v>
      </c>
      <c r="F82" t="s">
        <v>241</v>
      </c>
      <c r="G82" s="40" t="s">
        <v>241</v>
      </c>
      <c r="H82" t="s">
        <v>242</v>
      </c>
    </row>
    <row r="83" spans="1:8" hidden="1" x14ac:dyDescent="0.35">
      <c r="A83" t="s">
        <v>229</v>
      </c>
      <c r="E83" s="39" t="s">
        <v>243</v>
      </c>
      <c r="F83" s="36">
        <v>5400000095367430</v>
      </c>
      <c r="G83" s="42">
        <v>5400000095367430</v>
      </c>
      <c r="H83" t="s">
        <v>142</v>
      </c>
    </row>
    <row r="84" spans="1:8" hidden="1" x14ac:dyDescent="0.35">
      <c r="A84" t="s">
        <v>229</v>
      </c>
      <c r="E84" s="39" t="s">
        <v>244</v>
      </c>
      <c r="F84" s="36">
        <v>1.78999996185302E+16</v>
      </c>
      <c r="G84" s="42">
        <v>1.78999996185302E+16</v>
      </c>
      <c r="H84" t="s">
        <v>142</v>
      </c>
    </row>
    <row r="85" spans="1:8" hidden="1" x14ac:dyDescent="0.35">
      <c r="A85" t="s">
        <v>229</v>
      </c>
      <c r="E85" s="39" t="s">
        <v>245</v>
      </c>
      <c r="F85" t="s">
        <v>246</v>
      </c>
      <c r="G85" s="40" t="s">
        <v>246</v>
      </c>
      <c r="H85" t="s">
        <v>142</v>
      </c>
    </row>
    <row r="86" spans="1:8" hidden="1" x14ac:dyDescent="0.35">
      <c r="A86" t="s">
        <v>229</v>
      </c>
      <c r="E86" s="39" t="s">
        <v>247</v>
      </c>
      <c r="F86" s="36">
        <v>2399999956924240</v>
      </c>
      <c r="G86" s="42">
        <v>2399999956924240</v>
      </c>
      <c r="H86" t="s">
        <v>44</v>
      </c>
    </row>
    <row r="87" spans="1:8" hidden="1" x14ac:dyDescent="0.35">
      <c r="A87" t="s">
        <v>229</v>
      </c>
      <c r="E87" s="39" t="s">
        <v>248</v>
      </c>
      <c r="F87" s="36">
        <v>4.00000036630386E+16</v>
      </c>
      <c r="G87" s="42">
        <v>4.00000036630386E+16</v>
      </c>
      <c r="H87" t="s">
        <v>4</v>
      </c>
    </row>
    <row r="88" spans="1:8" hidden="1" x14ac:dyDescent="0.35">
      <c r="A88" t="s">
        <v>229</v>
      </c>
      <c r="E88" s="39" t="s">
        <v>249</v>
      </c>
      <c r="F88" s="36">
        <v>6.0000006951665E+16</v>
      </c>
      <c r="G88" s="42">
        <v>6.0000006951665E+16</v>
      </c>
      <c r="H88" t="s">
        <v>4</v>
      </c>
    </row>
    <row r="89" spans="1:8" hidden="1" x14ac:dyDescent="0.35">
      <c r="A89" t="s">
        <v>229</v>
      </c>
      <c r="B89" t="s">
        <v>250</v>
      </c>
      <c r="E89" s="39" t="s">
        <v>251</v>
      </c>
      <c r="F89" s="37">
        <v>46144</v>
      </c>
      <c r="G89" s="43">
        <v>46144</v>
      </c>
      <c r="H89" t="s">
        <v>89</v>
      </c>
    </row>
    <row r="90" spans="1:8" hidden="1" x14ac:dyDescent="0.35">
      <c r="A90" t="s">
        <v>229</v>
      </c>
      <c r="B90" t="s">
        <v>252</v>
      </c>
      <c r="E90" s="39" t="s">
        <v>253</v>
      </c>
      <c r="F90" t="s">
        <v>148</v>
      </c>
      <c r="G90" s="40" t="s">
        <v>148</v>
      </c>
    </row>
    <row r="91" spans="1:8" hidden="1" x14ac:dyDescent="0.35">
      <c r="A91" t="s">
        <v>229</v>
      </c>
      <c r="B91" t="s">
        <v>252</v>
      </c>
      <c r="E91" s="39" t="s">
        <v>254</v>
      </c>
      <c r="F91" s="36">
        <v>4999999701976770</v>
      </c>
      <c r="G91" s="42">
        <v>4999999701976770</v>
      </c>
      <c r="H91" t="s">
        <v>125</v>
      </c>
    </row>
    <row r="92" spans="1:8" hidden="1" x14ac:dyDescent="0.35">
      <c r="A92" t="s">
        <v>229</v>
      </c>
      <c r="B92" t="s">
        <v>252</v>
      </c>
      <c r="E92" s="39" t="s">
        <v>255</v>
      </c>
      <c r="F92" s="36">
        <v>2499999850988380</v>
      </c>
      <c r="G92" s="42">
        <v>2499999850988380</v>
      </c>
      <c r="H92" t="s">
        <v>125</v>
      </c>
    </row>
    <row r="93" spans="1:8" hidden="1" x14ac:dyDescent="0.35">
      <c r="A93" t="s">
        <v>229</v>
      </c>
      <c r="B93" t="s">
        <v>252</v>
      </c>
      <c r="E93" s="39" t="s">
        <v>256</v>
      </c>
      <c r="F93" t="s">
        <v>141</v>
      </c>
      <c r="G93" s="40" t="s">
        <v>141</v>
      </c>
      <c r="H93" t="s">
        <v>142</v>
      </c>
    </row>
    <row r="94" spans="1:8" hidden="1" x14ac:dyDescent="0.35">
      <c r="A94" t="s">
        <v>229</v>
      </c>
      <c r="B94" t="s">
        <v>252</v>
      </c>
      <c r="E94" s="39" t="s">
        <v>257</v>
      </c>
      <c r="F94" t="s">
        <v>246</v>
      </c>
      <c r="G94" s="40" t="s">
        <v>246</v>
      </c>
      <c r="H94" t="s">
        <v>142</v>
      </c>
    </row>
    <row r="95" spans="1:8" hidden="1" x14ac:dyDescent="0.35">
      <c r="A95" t="s">
        <v>229</v>
      </c>
      <c r="B95" t="s">
        <v>252</v>
      </c>
      <c r="E95" s="39" t="s">
        <v>258</v>
      </c>
      <c r="F95" s="36">
        <v>1600000117379400</v>
      </c>
      <c r="G95" s="42">
        <v>1600000117379400</v>
      </c>
      <c r="H95" t="s">
        <v>4</v>
      </c>
    </row>
    <row r="96" spans="1:8" hidden="1" x14ac:dyDescent="0.35">
      <c r="A96" t="s">
        <v>229</v>
      </c>
      <c r="B96" t="s">
        <v>252</v>
      </c>
      <c r="E96" s="39" t="s">
        <v>259</v>
      </c>
      <c r="F96" s="36">
        <v>3.00000034758325E+16</v>
      </c>
      <c r="G96" s="42">
        <v>3.00000034758325E+16</v>
      </c>
      <c r="H96" t="s">
        <v>4</v>
      </c>
    </row>
    <row r="97" spans="1:8" hidden="1" x14ac:dyDescent="0.35">
      <c r="A97" t="s">
        <v>229</v>
      </c>
      <c r="B97" t="s">
        <v>252</v>
      </c>
      <c r="E97" s="39" t="s">
        <v>260</v>
      </c>
      <c r="F97">
        <v>1</v>
      </c>
      <c r="G97" s="40">
        <v>1</v>
      </c>
      <c r="H97" t="s">
        <v>89</v>
      </c>
    </row>
    <row r="98" spans="1:8" hidden="1" x14ac:dyDescent="0.35">
      <c r="A98" t="s">
        <v>229</v>
      </c>
      <c r="B98" t="s">
        <v>252</v>
      </c>
      <c r="E98" s="39" t="s">
        <v>261</v>
      </c>
      <c r="F98" s="37">
        <v>46143</v>
      </c>
      <c r="G98" s="43">
        <v>46143</v>
      </c>
      <c r="H98" t="s">
        <v>89</v>
      </c>
    </row>
    <row r="99" spans="1:8" hidden="1" x14ac:dyDescent="0.35">
      <c r="A99" t="s">
        <v>262</v>
      </c>
      <c r="E99" s="39" t="s">
        <v>67</v>
      </c>
      <c r="F99" t="s">
        <v>263</v>
      </c>
      <c r="G99" s="40" t="s">
        <v>264</v>
      </c>
      <c r="H99" t="s">
        <v>265</v>
      </c>
    </row>
    <row r="100" spans="1:8" hidden="1" x14ac:dyDescent="0.35">
      <c r="A100" t="s">
        <v>262</v>
      </c>
      <c r="E100" s="39" t="s">
        <v>266</v>
      </c>
      <c r="F100" t="s">
        <v>267</v>
      </c>
      <c r="G100" s="40" t="s">
        <v>267</v>
      </c>
      <c r="H100" t="s">
        <v>268</v>
      </c>
    </row>
    <row r="101" spans="1:8" hidden="1" x14ac:dyDescent="0.35">
      <c r="A101" t="s">
        <v>262</v>
      </c>
      <c r="E101" s="39" t="s">
        <v>269</v>
      </c>
      <c r="F101" t="s">
        <v>270</v>
      </c>
      <c r="G101" s="40" t="s">
        <v>270</v>
      </c>
      <c r="H101" t="s">
        <v>242</v>
      </c>
    </row>
  </sheetData>
  <autoFilter ref="A1:H101" xr:uid="{7C02A18A-2695-43D3-AE95-4DB380771D3C}">
    <filterColumn colId="2">
      <filters>
        <filter val="Current Controller"/>
      </filters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Tabelle1</vt:lpstr>
      <vt:lpstr>DB42S03</vt:lpstr>
      <vt:lpstr>DB42C02</vt:lpstr>
      <vt:lpstr>RAK_DRONE_DB42S03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Heder, Andreas</dc:creator>
  <cp:lastModifiedBy>Heder, Andreas</cp:lastModifiedBy>
  <dcterms:created xsi:type="dcterms:W3CDTF">2026-03-03T09:32:27Z</dcterms:created>
  <dcterms:modified xsi:type="dcterms:W3CDTF">2026-06-04T10:16:58Z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a97ffd-39fd-4bc7-8d01-c9aafc3cbe00_Enabled">
    <vt:lpwstr>true</vt:lpwstr>
  </property>
  <property fmtid="{D5CDD505-2E9C-101B-9397-08002B2CF9AE}" pid="3" name="MSIP_Label_b4a97ffd-39fd-4bc7-8d01-c9aafc3cbe00_SetDate">
    <vt:lpwstr>2026-03-03T09:43:01Z</vt:lpwstr>
  </property>
  <property fmtid="{D5CDD505-2E9C-101B-9397-08002B2CF9AE}" pid="4" name="MSIP_Label_b4a97ffd-39fd-4bc7-8d01-c9aafc3cbe00_Method">
    <vt:lpwstr>Standard</vt:lpwstr>
  </property>
  <property fmtid="{D5CDD505-2E9C-101B-9397-08002B2CF9AE}" pid="5" name="MSIP_Label_b4a97ffd-39fd-4bc7-8d01-c9aafc3cbe00_Name">
    <vt:lpwstr>Öffentlich</vt:lpwstr>
  </property>
  <property fmtid="{D5CDD505-2E9C-101B-9397-08002B2CF9AE}" pid="6" name="MSIP_Label_b4a97ffd-39fd-4bc7-8d01-c9aafc3cbe00_SiteId">
    <vt:lpwstr>fdddafea-d35f-486a-9e94-aa1cb83f5ee8</vt:lpwstr>
  </property>
  <property fmtid="{D5CDD505-2E9C-101B-9397-08002B2CF9AE}" pid="7" name="MSIP_Label_b4a97ffd-39fd-4bc7-8d01-c9aafc3cbe00_ActionId">
    <vt:lpwstr>80045d72-3b3b-44b6-a1c1-4732c6759b41</vt:lpwstr>
  </property>
  <property fmtid="{D5CDD505-2E9C-101B-9397-08002B2CF9AE}" pid="8" name="MSIP_Label_b4a97ffd-39fd-4bc7-8d01-c9aafc3cbe00_ContentBits">
    <vt:lpwstr>0</vt:lpwstr>
  </property>
  <property fmtid="{D5CDD505-2E9C-101B-9397-08002B2CF9AE}" pid="9" name="MSIP_Label_b4a97ffd-39fd-4bc7-8d01-c9aafc3cbe00_Tag">
    <vt:lpwstr>10, 3, 0, 1</vt:lpwstr>
  </property>
</Properties>
</file>